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slaval-my.sharepoint.com/personal/idoufexis_csslaval_gouv_qc_ca/Documents/Documents/Ioannis/Scheduler 2.0/"/>
    </mc:Choice>
  </mc:AlternateContent>
  <xr:revisionPtr revIDLastSave="2" documentId="11_401444DDFC6A0EA24BD7AE698FDCD6FD4DA3FCE4" xr6:coauthVersionLast="47" xr6:coauthVersionMax="47" xr10:uidLastSave="{47433154-3469-44BF-BB4F-98D865F008E7}"/>
  <bookViews>
    <workbookView xWindow="-9840" yWindow="-21720" windowWidth="51840" windowHeight="21120" activeTab="7" xr2:uid="{00000000-000D-0000-FFFF-FFFF00000000}"/>
  </bookViews>
  <sheets>
    <sheet name="README" sheetId="1" r:id="rId1"/>
    <sheet name="CHANGELOG" sheetId="2" r:id="rId2"/>
    <sheet name="COURSES_5281" sheetId="3" r:id="rId3"/>
    <sheet name="COURSES_5388" sheetId="4" r:id="rId4"/>
    <sheet name="ROOMS" sheetId="5" r:id="rId5"/>
    <sheet name="TEACHERS" sheetId="6" r:id="rId6"/>
    <sheet name="COHORT_TEMPLATES" sheetId="7" r:id="rId7"/>
    <sheet name="SCHEDULING_RULES" sheetId="8" r:id="rId8"/>
    <sheet name="PREREQUISITE_CHAINS" sheetId="9" r:id="rId9"/>
    <sheet name="COURSE_ROOM_MATRIX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4" l="1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<sst xmlns="http://schemas.openxmlformats.org/spreadsheetml/2006/main" count="3218" uniqueCount="869">
  <si>
    <t>📚 TRADE SCHOOL SCHEDULER - MASTER DATA FILE</t>
  </si>
  <si>
    <t>PURPOSE:</t>
  </si>
  <si>
    <t>This workbook contains all the data needed to generate intelligent schedules for the ELEM program.</t>
  </si>
  <si>
    <t>SHEET DESCRIPTIONS:</t>
  </si>
  <si>
    <t>1. COURSES_5281</t>
  </si>
  <si>
    <t>Current program (5281) - 27 courses + Math</t>
  </si>
  <si>
    <t xml:space="preserve">   Columns:</t>
  </si>
  <si>
    <t>Course details, prerequisites, room requirements, special constraints</t>
  </si>
  <si>
    <t xml:space="preserve">   Action needed:</t>
  </si>
  <si>
    <t>Review and update "TBD" fields, verify prerequisites, add special notes</t>
  </si>
  <si>
    <t>2. COURSES_5388</t>
  </si>
  <si>
    <t>New program (5388) starting Sept 2026 - 23 courses + Math</t>
  </si>
  <si>
    <t>Same structure as 5281 + mapping to old courses</t>
  </si>
  <si>
    <t>Complete prerequisites, exam types, and detailed requirements</t>
  </si>
  <si>
    <t>3. ROOMS</t>
  </si>
  <si>
    <t>All 10 classrooms + C002 machine shop</t>
  </si>
  <si>
    <t>Capacity, equipment, availability, special constraints</t>
  </si>
  <si>
    <t>Verify all room capabilities are correct</t>
  </si>
  <si>
    <t>4. TEACHERS</t>
  </si>
  <si>
    <t>All 18 teachers (10 permanent, 8 contract)</t>
  </si>
  <si>
    <t>Hour limits, expertise levels, seniority, preferences</t>
  </si>
  <si>
    <t>Add preferred courses and special notes</t>
  </si>
  <si>
    <t>5. COHORT_TEMPLATES</t>
  </si>
  <si>
    <t>Six cohort types (Regular Day/Night, Conco Y1/Y2/Y3, Double DEP)</t>
  </si>
  <si>
    <t>Time blocks, duration, size, special rules</t>
  </si>
  <si>
    <t>Verify time blocks and rules are accurate</t>
  </si>
  <si>
    <t>6. SCHEDULING_RULES</t>
  </si>
  <si>
    <t>Global scheduling constraints (18 rules)</t>
  </si>
  <si>
    <t>Rule description, what it applies to, priority, mandatory status</t>
  </si>
  <si>
    <t>Review rules, add any missing constraints</t>
  </si>
  <si>
    <t>7. PREREQUISITE_CHAINS</t>
  </si>
  <si>
    <t>Course dependency tree for 5281</t>
  </si>
  <si>
    <t>Direct prereqs, full tree, what it blocks, level</t>
  </si>
  <si>
    <t>Verify prerequisite logic is correct</t>
  </si>
  <si>
    <t>8. COURSE_ROOM_MATRIX</t>
  </si>
  <si>
    <t>Explicit mappings of which courses can use which rooms</t>
  </si>
  <si>
    <t>Course, room, priority (1=best, 3=last resort), purpose, notes</t>
  </si>
  <si>
    <t>Complete matrix for all courses - this drives room assignment!</t>
  </si>
  <si>
    <t>NEXT STEPS:</t>
  </si>
  <si>
    <t>✅ Step 1:</t>
  </si>
  <si>
    <t>Review all sheets and fill in "TBD" fields</t>
  </si>
  <si>
    <t>✅ Step 2:</t>
  </si>
  <si>
    <t>Verify room-course compatibility in COURSE_ROOM_MATRIX</t>
  </si>
  <si>
    <t>✅ Step 3:</t>
  </si>
  <si>
    <t>Add teacher preferences and expertise ratings</t>
  </si>
  <si>
    <t>✅ Step 4:</t>
  </si>
  <si>
    <t>Complete 5388 prerequisites (mark as "TBD" if uncertain)</t>
  </si>
  <si>
    <t>✅ Step 5:</t>
  </si>
  <si>
    <t>Save this file and import into scheduler application</t>
  </si>
  <si>
    <t>IMPORTANT NOTES:</t>
  </si>
  <si>
    <t>⚠️  C2 Delay:</t>
  </si>
  <si>
    <t>Must delay C2 start to keep waitlist window open - CRITICAL for enrollment</t>
  </si>
  <si>
    <t>⚠️  C002 Limit:</t>
  </si>
  <si>
    <t>MAX 2 groups simultaneously in machine shop - SAFETY CONSTRAINT</t>
  </si>
  <si>
    <t>⚠️  Exclusive Rooms:</t>
  </si>
  <si>
    <t>B107 (C24 only), B007 (C26 only) - cannot share</t>
  </si>
  <si>
    <t>⚠️  Same Room:</t>
  </si>
  <si>
    <t>C4, C10, C17 must keep same room throughout course</t>
  </si>
  <si>
    <t>⚠️  Math Timing:</t>
  </si>
  <si>
    <t>Must start within first month of every new cohort</t>
  </si>
  <si>
    <t>QUESTIONS OR ISSUES?</t>
  </si>
  <si>
    <t>Review the scheduler application help documentation</t>
  </si>
  <si>
    <t>📝 MASTER DATA FILE - CHANGELOG &amp; UPDATES</t>
  </si>
  <si>
    <t>Date</t>
  </si>
  <si>
    <t>Update</t>
  </si>
  <si>
    <t>Details</t>
  </si>
  <si>
    <t>2026-02-14</t>
  </si>
  <si>
    <t>CORRECTED TEACHER HOURS</t>
  </si>
  <si>
    <t>Updated contract from 760→720 hrs total</t>
  </si>
  <si>
    <t>- Permanent: 635 student-facing + 85 mentoring</t>
  </si>
  <si>
    <t>- Contract: 720 all teaching</t>
  </si>
  <si>
    <t>- Overtime threshold: &gt; 720 hrs</t>
  </si>
  <si>
    <t>ADDED EXAM/RÉCUP/REPRISE TIMING</t>
  </si>
  <si>
    <t>Added 16 columns to COURSES sheets</t>
  </si>
  <si>
    <t>- Instruction_Hours (calculated from total)</t>
  </si>
  <si>
    <t>- Exam/Récup/Reprise hours (parsed from Exam_Type)</t>
  </si>
  <si>
    <t>- Min/Preferred/Max gaps between exam→récup→reprise</t>
  </si>
  <si>
    <t>- Period 2 preference for récup/reprise</t>
  </si>
  <si>
    <t>- Friday/Monday preferred days</t>
  </si>
  <si>
    <t>ADDED FILLER COURSE IDENTIFICATION</t>
  </si>
  <si>
    <t>Marked short courses as fillers</t>
  </si>
  <si>
    <t>- C00, C1, C3, C5, C7, C9, C23 = Good fillers</t>
  </si>
  <si>
    <t>- Priority 1 (best) for courses ≤30 hrs</t>
  </si>
  <si>
    <t>- Use to absorb récup/reprise disruption</t>
  </si>
  <si>
    <t>ADDED TEACHER PREFERENCES</t>
  </si>
  <si>
    <t>Added columns to TEACHERS sheet</t>
  </si>
  <si>
    <t>- Calendar_Type (A or C)</t>
  </si>
  <si>
    <t>- Overtime_Available (voluntary)</t>
  </si>
  <si>
    <t>- Day/Night preferences</t>
  </si>
  <si>
    <t>- Teacher_Type (Planner/Specialist/Mentor)</t>
  </si>
  <si>
    <t>ADDED SCHEDULING RULES R019-R037</t>
  </si>
  <si>
    <t>19 new critical rules</t>
  </si>
  <si>
    <t>- Exam timing (3-7 day gaps)</t>
  </si>
  <si>
    <t>- Récup→Reprise timing (2-5 day gaps)</t>
  </si>
  <si>
    <t>- Teacher availability for their own récup/reprise</t>
  </si>
  <si>
    <t>- Course overlap prevention (same teacher/course)</t>
  </si>
  <si>
    <t>- 30 hrs/week continuous (no gaps)</t>
  </si>
  <si>
    <t>- Next course starts immediately after exam</t>
  </si>
  <si>
    <t>- Filler course strategy</t>
  </si>
  <si>
    <t>- Peak load: 14 concurrent groups Sept-Dec</t>
  </si>
  <si>
    <t>KEY INSIGHTS</t>
  </si>
  <si>
    <t>Peak Period</t>
  </si>
  <si>
    <t>Sept-Dec: Up to 14 concurrent groups</t>
  </si>
  <si>
    <t>Room Pressure</t>
  </si>
  <si>
    <t>10 rooms, need 8+ simultaneously in morning</t>
  </si>
  <si>
    <t>Teacher Shortage</t>
  </si>
  <si>
    <t>~7,000 hrs/year overtime needed</t>
  </si>
  <si>
    <t>No Gaps</t>
  </si>
  <si>
    <t>Students have 30 hrs/week continuously</t>
  </si>
  <si>
    <t>Récup Reality</t>
  </si>
  <si>
    <t>Happens DURING next course, not after</t>
  </si>
  <si>
    <t>Teacher Choice</t>
  </si>
  <si>
    <t>Teachers select by seniority (not assigned)</t>
  </si>
  <si>
    <t>Management Fills Gaps</t>
  </si>
  <si>
    <t>Overtime voluntary, cannot force</t>
  </si>
  <si>
    <t>CRITICAL RULES</t>
  </si>
  <si>
    <t>C2 Delay</t>
  </si>
  <si>
    <t>Must delay C2 for waitlist window (gov regulation)</t>
  </si>
  <si>
    <t>C002 Shop</t>
  </si>
  <si>
    <t>Max 2 groups simultaneously (safety)</t>
  </si>
  <si>
    <t>Exclusive Rooms</t>
  </si>
  <si>
    <t>B107 (C24 only), B007 (C26 only)</t>
  </si>
  <si>
    <t>Period 2</t>
  </si>
  <si>
    <t>Récup/reprise in Period 2 (passing students get off)</t>
  </si>
  <si>
    <t>Same Teacher</t>
  </si>
  <si>
    <t>Teacher who taught must do récup/reprise</t>
  </si>
  <si>
    <t>Module_Number</t>
  </si>
  <si>
    <t>Course_Code</t>
  </si>
  <si>
    <t>Course_Name</t>
  </si>
  <si>
    <t>Hours_Required</t>
  </si>
  <si>
    <t>Days_Required</t>
  </si>
  <si>
    <t>Block_Type</t>
  </si>
  <si>
    <t>Frequency</t>
  </si>
  <si>
    <t>Prerequisites</t>
  </si>
  <si>
    <t>Must_Complete_Before</t>
  </si>
  <si>
    <t>Cannot_Run_With</t>
  </si>
  <si>
    <t>Can_Run_Simultaneous</t>
  </si>
  <si>
    <t>Can_Run_Same_Day</t>
  </si>
  <si>
    <t>Can_Alternate_Day_Night</t>
  </si>
  <si>
    <t>Requires_208V</t>
  </si>
  <si>
    <t>Requires_Compressed_Air</t>
  </si>
  <si>
    <t>Requires_Computers</t>
  </si>
  <si>
    <t>Computer_Count_Needed</t>
  </si>
  <si>
    <t>Requires_Electronics_Bench</t>
  </si>
  <si>
    <t>Requires_Hydraulics</t>
  </si>
  <si>
    <t>Requires_Pneumatics</t>
  </si>
  <si>
    <t>Requires_Machine_Shop</t>
  </si>
  <si>
    <t>Requires_Welding</t>
  </si>
  <si>
    <t>Requires_Miniusine</t>
  </si>
  <si>
    <t>Room_Options</t>
  </si>
  <si>
    <t>Room_Exclusivity</t>
  </si>
  <si>
    <t>Max_Groups_In_Room</t>
  </si>
  <si>
    <t>Must_Keep_Same_Room</t>
  </si>
  <si>
    <t>Special_Constraints</t>
  </si>
  <si>
    <t>Exam_Type</t>
  </si>
  <si>
    <t>Needs_Correction_Day</t>
  </si>
  <si>
    <t>Program</t>
  </si>
  <si>
    <t>Semester</t>
  </si>
  <si>
    <t>Category</t>
  </si>
  <si>
    <t>Instruction_Hours</t>
  </si>
  <si>
    <t>Exam_Hours</t>
  </si>
  <si>
    <t>Recup_Hours</t>
  </si>
  <si>
    <t>Reprise_Hours</t>
  </si>
  <si>
    <t>Exam_Recup_Gap_Min</t>
  </si>
  <si>
    <t>Exam_Recup_Gap_Preferred</t>
  </si>
  <si>
    <t>Exam_Recup_Gap_Max</t>
  </si>
  <si>
    <t>Recup_Reprise_Gap_Min</t>
  </si>
  <si>
    <t>Recup_Reprise_Gap_Preferred</t>
  </si>
  <si>
    <t>Recup_Reprise_Gap_Max</t>
  </si>
  <si>
    <t>Recup_Period_Preference</t>
  </si>
  <si>
    <t>Reprise_Period_Preference</t>
  </si>
  <si>
    <t>Recup_Preferred_Days</t>
  </si>
  <si>
    <t>Reprise_Preferred_Days</t>
  </si>
  <si>
    <t>Is_Filler_Course</t>
  </si>
  <si>
    <t>Filler_Priority</t>
  </si>
  <si>
    <t>C00</t>
  </si>
  <si>
    <t>000-000</t>
  </si>
  <si>
    <t>MATHÉMATIQUE</t>
  </si>
  <si>
    <t>BLOC 6 HEURES</t>
  </si>
  <si>
    <t>Variable</t>
  </si>
  <si>
    <t>OUI</t>
  </si>
  <si>
    <t>NON</t>
  </si>
  <si>
    <t>OPTIONAL</t>
  </si>
  <si>
    <t>TOUS</t>
  </si>
  <si>
    <t>Placer en premier pour liste d'attente</t>
  </si>
  <si>
    <t>Non</t>
  </si>
  <si>
    <t>5281</t>
  </si>
  <si>
    <t>ANY</t>
  </si>
  <si>
    <t>Friday, Monday</t>
  </si>
  <si>
    <t>Monday, Wednesday</t>
  </si>
  <si>
    <t>1</t>
  </si>
  <si>
    <t>C1</t>
  </si>
  <si>
    <t>281-621</t>
  </si>
  <si>
    <t>Métier et formation</t>
  </si>
  <si>
    <t>2x6h +3h</t>
  </si>
  <si>
    <t>tous</t>
  </si>
  <si>
    <t>Première journée 1/2 jour + Math</t>
  </si>
  <si>
    <t>Situation</t>
  </si>
  <si>
    <t>C2</t>
  </si>
  <si>
    <t>254-992</t>
  </si>
  <si>
    <t>SANTÉ SÉCURITÉ</t>
  </si>
  <si>
    <t>2-3 JOUR/SEMAINE</t>
  </si>
  <si>
    <t>Premier cours 6hrs - DÉLAI LISTE ATTENTE!</t>
  </si>
  <si>
    <t>C3</t>
  </si>
  <si>
    <t>281-632</t>
  </si>
  <si>
    <t>INFORMATIQUE</t>
  </si>
  <si>
    <t>B-007,B-013,B-014</t>
  </si>
  <si>
    <t>Deuxième journée 6hr</t>
  </si>
  <si>
    <t>E/3h R/3h</t>
  </si>
  <si>
    <t>E</t>
  </si>
  <si>
    <t>C4</t>
  </si>
  <si>
    <t>281-648</t>
  </si>
  <si>
    <t>CIRCUIT ÉLECTRIQUES</t>
  </si>
  <si>
    <t>5 JOURS/SEMAINE</t>
  </si>
  <si>
    <t>C10</t>
  </si>
  <si>
    <t>C10 (J/J)</t>
  </si>
  <si>
    <t>B014</t>
  </si>
  <si>
    <t>Terminé avant C10 / Toujours même local / 1j correction exam</t>
  </si>
  <si>
    <t>E/9h R/3h</t>
  </si>
  <si>
    <t>C5</t>
  </si>
  <si>
    <t>281-652</t>
  </si>
  <si>
    <t>DESSIN D'UN CROQUIS</t>
  </si>
  <si>
    <t>2-3 JOURS/SEMAINE</t>
  </si>
  <si>
    <t>C6</t>
  </si>
  <si>
    <t>281-667</t>
  </si>
  <si>
    <t>USINAGE MANUEL</t>
  </si>
  <si>
    <t>C002,B013,B015,C007,C009</t>
  </si>
  <si>
    <t>2</t>
  </si>
  <si>
    <t>Max 2 groupes C002</t>
  </si>
  <si>
    <t>E/12h R/3h</t>
  </si>
  <si>
    <t>M</t>
  </si>
  <si>
    <t>C7</t>
  </si>
  <si>
    <t>281-672</t>
  </si>
  <si>
    <t>DÉPLACEMENT D'ÉQUIP.</t>
  </si>
  <si>
    <t>C8</t>
  </si>
  <si>
    <t>281-685</t>
  </si>
  <si>
    <t>SOUDAGE</t>
  </si>
  <si>
    <t>B013,B015,C007,C009</t>
  </si>
  <si>
    <t>E/6h R/3h</t>
  </si>
  <si>
    <t>C9</t>
  </si>
  <si>
    <t>281-692</t>
  </si>
  <si>
    <t>RACCORD CONDUIT</t>
  </si>
  <si>
    <t>281-707</t>
  </si>
  <si>
    <t>ÉLECTRONIQUE INDUSTRIEL</t>
  </si>
  <si>
    <t>C2,C4</t>
  </si>
  <si>
    <t>C4 (J/J)</t>
  </si>
  <si>
    <t>Pas de C4 même temps J/J / Team teach arduino après 5j</t>
  </si>
  <si>
    <t>C11</t>
  </si>
  <si>
    <t>281-716</t>
  </si>
  <si>
    <t>USINAGE MACHINE OUTILS</t>
  </si>
  <si>
    <t>C2,C6</t>
  </si>
  <si>
    <t>Max 2 groupes C002 / AUCUN autre groupe même temps</t>
  </si>
  <si>
    <t>C12</t>
  </si>
  <si>
    <t>281-726</t>
  </si>
  <si>
    <t>ANALYSE CIRCUIT LOGIQUE</t>
  </si>
  <si>
    <t>C17</t>
  </si>
  <si>
    <t>B013,B015</t>
  </si>
  <si>
    <t>Terminer avant C17</t>
  </si>
  <si>
    <t>C13</t>
  </si>
  <si>
    <t>281-732</t>
  </si>
  <si>
    <t>ALIGNEMENT CONVENT.</t>
  </si>
  <si>
    <t>Max 2 groupes C002 / 2 profs jour 2</t>
  </si>
  <si>
    <t>C14</t>
  </si>
  <si>
    <t>281-747</t>
  </si>
  <si>
    <t>DISPOSITIF MÉCANIQUE</t>
  </si>
  <si>
    <t>C2,C6,C11</t>
  </si>
  <si>
    <t>C002,B018</t>
  </si>
  <si>
    <t>Alternance avec conco si max 2 groupes atelier</t>
  </si>
  <si>
    <t>C15</t>
  </si>
  <si>
    <t>281-755</t>
  </si>
  <si>
    <t>CIRCUITS PNEUMATIQUES</t>
  </si>
  <si>
    <t>C2,C12</t>
  </si>
  <si>
    <t>C009,C007,B015</t>
  </si>
  <si>
    <t>C16</t>
  </si>
  <si>
    <t>281-764</t>
  </si>
  <si>
    <t>CIRCUITS HYDRAULIQUES</t>
  </si>
  <si>
    <t>C2,C15</t>
  </si>
  <si>
    <t>C001</t>
  </si>
  <si>
    <t>3</t>
  </si>
  <si>
    <t>281-777</t>
  </si>
  <si>
    <t>MAINTENANCE MOTEURS</t>
  </si>
  <si>
    <t>C2,C4,C12</t>
  </si>
  <si>
    <t>Donner seul / C12 terminé / Même local</t>
  </si>
  <si>
    <t>C18</t>
  </si>
  <si>
    <t>281-784</t>
  </si>
  <si>
    <t>MAINTENANCE PNEUMAT.</t>
  </si>
  <si>
    <t>C2,C14,C15,C17</t>
  </si>
  <si>
    <t>C002,C009,C007,B015</t>
  </si>
  <si>
    <t>C17 terminé / Max 2 groupes C002</t>
  </si>
  <si>
    <t>C19</t>
  </si>
  <si>
    <t>281-794</t>
  </si>
  <si>
    <t>BOUCLE DE CONTRÔLE</t>
  </si>
  <si>
    <t>C2,C4,C10,C17</t>
  </si>
  <si>
    <t>B007,B013,B014,B015</t>
  </si>
  <si>
    <t>C20</t>
  </si>
  <si>
    <t>281-804</t>
  </si>
  <si>
    <t>CIRCUIT ÉLECTROPNEUMAT.</t>
  </si>
  <si>
    <t>C2,C4,C10,C12,C15,C17</t>
  </si>
  <si>
    <t>C21</t>
  </si>
  <si>
    <t>281-816</t>
  </si>
  <si>
    <t>AUTOMATE PROG.</t>
  </si>
  <si>
    <t>C2,C12,C17,C20</t>
  </si>
  <si>
    <t>B013</t>
  </si>
  <si>
    <t>C22</t>
  </si>
  <si>
    <t>281-824</t>
  </si>
  <si>
    <t>DRIVE MOTEUR</t>
  </si>
  <si>
    <t>C2,C4,C10,C17,C19,C21</t>
  </si>
  <si>
    <t>C23</t>
  </si>
  <si>
    <t>281-831</t>
  </si>
  <si>
    <t>RECHERCHE D'EMPLOI</t>
  </si>
  <si>
    <t>BLOC 3 HEURES</t>
  </si>
  <si>
    <t>Même prof C27 / Débuter 3 mois avant stage</t>
  </si>
  <si>
    <t>C24</t>
  </si>
  <si>
    <t>281-847</t>
  </si>
  <si>
    <t>INSTALLATION SYST.AUTO</t>
  </si>
  <si>
    <t>TOUT</t>
  </si>
  <si>
    <t>B107</t>
  </si>
  <si>
    <t>AUCUN autre groupe même temps / Exam processus / Récup même jour reprise</t>
  </si>
  <si>
    <t>C25</t>
  </si>
  <si>
    <t>281-853</t>
  </si>
  <si>
    <t>Maintenance planifié</t>
  </si>
  <si>
    <t>C26</t>
  </si>
  <si>
    <t>B013,B015,B018</t>
  </si>
  <si>
    <t>281-866</t>
  </si>
  <si>
    <t>MINI USINE</t>
  </si>
  <si>
    <t>B007</t>
  </si>
  <si>
    <t>Donner seul / C25 terminé</t>
  </si>
  <si>
    <t>C27</t>
  </si>
  <si>
    <t>281-876</t>
  </si>
  <si>
    <t>STAGE</t>
  </si>
  <si>
    <t>AUCUN ÉCHEC</t>
  </si>
  <si>
    <t>Visite 5j consécutifs 2 dernières sem. / Période début semestre accès élèves / Enseignant pas autre groupe</t>
  </si>
  <si>
    <t>Maps_To_5281</t>
  </si>
  <si>
    <t>282901</t>
  </si>
  <si>
    <t>TBD</t>
  </si>
  <si>
    <t>5388</t>
  </si>
  <si>
    <t>254992</t>
  </si>
  <si>
    <t>Santé et sécurité sur les chantiers de construction</t>
  </si>
  <si>
    <t>DÉLAI LISTE ATTENTE!</t>
  </si>
  <si>
    <t>282928</t>
  </si>
  <si>
    <t>Circuits électriques : dépannage</t>
  </si>
  <si>
    <t>Toujours même local</t>
  </si>
  <si>
    <t>4</t>
  </si>
  <si>
    <t>282933</t>
  </si>
  <si>
    <t>Dessin de croquis</t>
  </si>
  <si>
    <t>5</t>
  </si>
  <si>
    <t>282947</t>
  </si>
  <si>
    <t>Travaux d'atelier</t>
  </si>
  <si>
    <t>6</t>
  </si>
  <si>
    <t>282955</t>
  </si>
  <si>
    <t>Coupage et soudage</t>
  </si>
  <si>
    <t>7</t>
  </si>
  <si>
    <t>282962</t>
  </si>
  <si>
    <t>Accès et manutention</t>
  </si>
  <si>
    <t>8</t>
  </si>
  <si>
    <t>282974</t>
  </si>
  <si>
    <t>Conduits étanches : préparation et installation</t>
  </si>
  <si>
    <t>9</t>
  </si>
  <si>
    <t>282986</t>
  </si>
  <si>
    <t>Usinage sur machines-outils</t>
  </si>
  <si>
    <t>Max 2 groupes C002 / AUCUN autre groupe</t>
  </si>
  <si>
    <t>10</t>
  </si>
  <si>
    <t>282995</t>
  </si>
  <si>
    <t>Circuits électroniques : dépannage</t>
  </si>
  <si>
    <t>11</t>
  </si>
  <si>
    <t>283006</t>
  </si>
  <si>
    <t>Circuits logiques : programmation</t>
  </si>
  <si>
    <t>12</t>
  </si>
  <si>
    <t>283016</t>
  </si>
  <si>
    <t>Systèmes mécaniques : maintenance et dépannage</t>
  </si>
  <si>
    <t>13</t>
  </si>
  <si>
    <t>283027</t>
  </si>
  <si>
    <t>Circuits pneumatiques et électropneumatiques</t>
  </si>
  <si>
    <t>MERGED: C15+C20</t>
  </si>
  <si>
    <t>C15,C20</t>
  </si>
  <si>
    <t>14</t>
  </si>
  <si>
    <t>283037</t>
  </si>
  <si>
    <t>Circuits moteurs électriques : maintenance et dépannage</t>
  </si>
  <si>
    <t>Même local</t>
  </si>
  <si>
    <t>15</t>
  </si>
  <si>
    <t>283047</t>
  </si>
  <si>
    <t>Circuits hydrauliques et électrohydrauliques</t>
  </si>
  <si>
    <t>MERGED: includes electro-hydraulics</t>
  </si>
  <si>
    <t>16</t>
  </si>
  <si>
    <t>283055</t>
  </si>
  <si>
    <t>Dispositifs électroniques de commande de moteur</t>
  </si>
  <si>
    <t>17</t>
  </si>
  <si>
    <t>283065</t>
  </si>
  <si>
    <t>Boucles de contrôle</t>
  </si>
  <si>
    <t>18</t>
  </si>
  <si>
    <t>283077</t>
  </si>
  <si>
    <t>Programmation de systèmes automatisés</t>
  </si>
  <si>
    <t>19</t>
  </si>
  <si>
    <t>283085</t>
  </si>
  <si>
    <t>Maintenance planifiée de systèmes automatisés</t>
  </si>
  <si>
    <t>20</t>
  </si>
  <si>
    <t>283097</t>
  </si>
  <si>
    <t>Dépannage de systèmes automatisés</t>
  </si>
  <si>
    <t>Similar to C26</t>
  </si>
  <si>
    <t>21</t>
  </si>
  <si>
    <t>283108</t>
  </si>
  <si>
    <t>Installation de systèmes automatisés</t>
  </si>
  <si>
    <t>AUCUN autre groupe même temps</t>
  </si>
  <si>
    <t>22</t>
  </si>
  <si>
    <t>283111</t>
  </si>
  <si>
    <t>Cheminement professionnel</t>
  </si>
  <si>
    <t>Similar to C23</t>
  </si>
  <si>
    <t>23</t>
  </si>
  <si>
    <t>283126</t>
  </si>
  <si>
    <t>Intégration au milieu de travail</t>
  </si>
  <si>
    <t>Stage / Enseignant pas autre groupe</t>
  </si>
  <si>
    <t>Room_ID</t>
  </si>
  <si>
    <t>Room_Name</t>
  </si>
  <si>
    <t>Capacity</t>
  </si>
  <si>
    <t>Has_Computers</t>
  </si>
  <si>
    <t>Computer_Count</t>
  </si>
  <si>
    <t>Computer_Type</t>
  </si>
  <si>
    <t>Has_208V_3Phase</t>
  </si>
  <si>
    <t>Has_Compressed_Air</t>
  </si>
  <si>
    <t>Has_120V</t>
  </si>
  <si>
    <t>Has_Electronics_Benches</t>
  </si>
  <si>
    <t>Has_Hydraulics_Equipment</t>
  </si>
  <si>
    <t>Has_Pneumatics_Equipment</t>
  </si>
  <si>
    <t>Has_Machine_Shop_Access</t>
  </si>
  <si>
    <t>Has_Welding_Equipment</t>
  </si>
  <si>
    <t>Has_Miniusine_Setup</t>
  </si>
  <si>
    <t>Is_Theory_Room</t>
  </si>
  <si>
    <t>Reserved_For</t>
  </si>
  <si>
    <t>Exclusive_Use_Only</t>
  </si>
  <si>
    <t>Max_Simultaneous_Groups</t>
  </si>
  <si>
    <t>Available_Day_P1</t>
  </si>
  <si>
    <t>Available_Day_P2</t>
  </si>
  <si>
    <t>Available_Night_P1</t>
  </si>
  <si>
    <t>Available_Night_P2</t>
  </si>
  <si>
    <t>Special_Notes</t>
  </si>
  <si>
    <t>Miniusine Primary</t>
  </si>
  <si>
    <t>Desktop</t>
  </si>
  <si>
    <t>Miniusine setup / C26 uses this</t>
  </si>
  <si>
    <t>B010</t>
  </si>
  <si>
    <t>Conco Reserved</t>
  </si>
  <si>
    <t>Laptops</t>
  </si>
  <si>
    <t>Concomitance (soft)</t>
  </si>
  <si>
    <t>Reserved for Conco but can use if needed</t>
  </si>
  <si>
    <t>Theory/Computer Lab</t>
  </si>
  <si>
    <t>High usage - Electronics and theory</t>
  </si>
  <si>
    <t>Electronics Lab</t>
  </si>
  <si>
    <t>C4, C10 primary - Keep same room</t>
  </si>
  <si>
    <t>B015</t>
  </si>
  <si>
    <t>Pneumatics Lab</t>
  </si>
  <si>
    <t>Pneumatics equipment available</t>
  </si>
  <si>
    <t>B018</t>
  </si>
  <si>
    <t>Mechanical/Assembly</t>
  </si>
  <si>
    <t>None</t>
  </si>
  <si>
    <t>Miniusine compatible / C14 uses</t>
  </si>
  <si>
    <t>Installation Space</t>
  </si>
  <si>
    <t>C24 EXCLUSIVE</t>
  </si>
  <si>
    <t>C24 ONLY - No other groups allowed</t>
  </si>
  <si>
    <t>Hydraulics Lab</t>
  </si>
  <si>
    <t>C16 exclusive use</t>
  </si>
  <si>
    <t>C002</t>
  </si>
  <si>
    <t>MACHINE SHOP</t>
  </si>
  <si>
    <t>⚠️ MAX 2 GROUPS SIMULTANEOUSLY - Safety constraint</t>
  </si>
  <si>
    <t>C007</t>
  </si>
  <si>
    <t>Pneumatics/Flexible</t>
  </si>
  <si>
    <t>Flexible space with pneumatics</t>
  </si>
  <si>
    <t>C009</t>
  </si>
  <si>
    <t>Pneumatics/Electronics</t>
  </si>
  <si>
    <t>Pneumatics + Electronics capable</t>
  </si>
  <si>
    <t>Teacher_ID</t>
  </si>
  <si>
    <t>Initials</t>
  </si>
  <si>
    <t>First_Name</t>
  </si>
  <si>
    <t>Last_Name</t>
  </si>
  <si>
    <t>Full_Name</t>
  </si>
  <si>
    <t>Employment_Type</t>
  </si>
  <si>
    <t>Max_Hours_Student_Facing</t>
  </si>
  <si>
    <t>Max_Hours_Tutoring</t>
  </si>
  <si>
    <t>Total_Annual_Limit</t>
  </si>
  <si>
    <t>Warning_Threshold_Percent</t>
  </si>
  <si>
    <t>Can_Teach_Day</t>
  </si>
  <si>
    <t>Can_Teach_Night</t>
  </si>
  <si>
    <t>Can_Teach_Double_Shift</t>
  </si>
  <si>
    <t>Preferred_Courses</t>
  </si>
  <si>
    <t>Cannot_Teach_Courses</t>
  </si>
  <si>
    <t>Seniority_Rank</t>
  </si>
  <si>
    <t>Expertise_Electrical</t>
  </si>
  <si>
    <t>Expertise_Mechanical</t>
  </si>
  <si>
    <t>Expertise_Pneumatics</t>
  </si>
  <si>
    <t>Expertise_Electronics</t>
  </si>
  <si>
    <t>Expertise_Programming</t>
  </si>
  <si>
    <t>Calendar_Type</t>
  </si>
  <si>
    <t>Overtime_Available</t>
  </si>
  <si>
    <t>Overtime_Hours_Max</t>
  </si>
  <si>
    <t>Day_Preference</t>
  </si>
  <si>
    <t>Night_Preference</t>
  </si>
  <si>
    <t>Teacher_Type</t>
  </si>
  <si>
    <t>LECM</t>
  </si>
  <si>
    <t>ml</t>
  </si>
  <si>
    <t>Michel</t>
  </si>
  <si>
    <t>Leclerc</t>
  </si>
  <si>
    <t>Michel Leclerc</t>
  </si>
  <si>
    <t>Permanent</t>
  </si>
  <si>
    <t>C</t>
  </si>
  <si>
    <t>OPRS</t>
  </si>
  <si>
    <t>so</t>
  </si>
  <si>
    <t>Sofia</t>
  </si>
  <si>
    <t>Oprea</t>
  </si>
  <si>
    <t>Sofia Oprea</t>
  </si>
  <si>
    <t>RAZJ</t>
  </si>
  <si>
    <t>jpr</t>
  </si>
  <si>
    <t>Jean-Pierre</t>
  </si>
  <si>
    <t>Raza</t>
  </si>
  <si>
    <t>Jean-Pierre Raza</t>
  </si>
  <si>
    <t>HUND</t>
  </si>
  <si>
    <t>dh</t>
  </si>
  <si>
    <t>Danny</t>
  </si>
  <si>
    <t>Hunt</t>
  </si>
  <si>
    <t>Danny Hunt</t>
  </si>
  <si>
    <t>A</t>
  </si>
  <si>
    <t>MPRO</t>
  </si>
  <si>
    <t>mnp</t>
  </si>
  <si>
    <t>Michel Noël</t>
  </si>
  <si>
    <t>Proulx</t>
  </si>
  <si>
    <t>Michel Noël Proulx</t>
  </si>
  <si>
    <t>SEBP</t>
  </si>
  <si>
    <t>sp</t>
  </si>
  <si>
    <t>Sébastien</t>
  </si>
  <si>
    <t>Poirier</t>
  </si>
  <si>
    <t>Sébastien Poirier</t>
  </si>
  <si>
    <t>DECG</t>
  </si>
  <si>
    <t>gd</t>
  </si>
  <si>
    <t>Gilles</t>
  </si>
  <si>
    <t>Décarie</t>
  </si>
  <si>
    <t>Gilles Décarie</t>
  </si>
  <si>
    <t>FBOZ</t>
  </si>
  <si>
    <t>fb</t>
  </si>
  <si>
    <t>Filip</t>
  </si>
  <si>
    <t>Bozelko</t>
  </si>
  <si>
    <t>Filip Bozelko</t>
  </si>
  <si>
    <t>KHAF</t>
  </si>
  <si>
    <t>fk</t>
  </si>
  <si>
    <t>Faycal</t>
  </si>
  <si>
    <t>Kharchafi</t>
  </si>
  <si>
    <t>Faycal Kharchafi</t>
  </si>
  <si>
    <t>SENM</t>
  </si>
  <si>
    <t>ms</t>
  </si>
  <si>
    <t>Martin</t>
  </si>
  <si>
    <t>Sénéchal</t>
  </si>
  <si>
    <t>Martin Sénéchal</t>
  </si>
  <si>
    <t>SPRA</t>
  </si>
  <si>
    <t>als</t>
  </si>
  <si>
    <t>Alain</t>
  </si>
  <si>
    <t>Springhetti</t>
  </si>
  <si>
    <t>Alain Springhetti</t>
  </si>
  <si>
    <t>Contract</t>
  </si>
  <si>
    <t>ROBD</t>
  </si>
  <si>
    <t>drd</t>
  </si>
  <si>
    <t>Dominic</t>
  </si>
  <si>
    <t>Robichaud-Dubé</t>
  </si>
  <si>
    <t>Dominic Robichaud-Dubé</t>
  </si>
  <si>
    <t>DOUI</t>
  </si>
  <si>
    <t>id</t>
  </si>
  <si>
    <t>Ioannis</t>
  </si>
  <si>
    <t>Doufexis</t>
  </si>
  <si>
    <t>Ioannis Doufexis</t>
  </si>
  <si>
    <t>HAOY</t>
  </si>
  <si>
    <t>yh</t>
  </si>
  <si>
    <t>Yassine</t>
  </si>
  <si>
    <t>Haouari</t>
  </si>
  <si>
    <t>Yassine Haouari</t>
  </si>
  <si>
    <t>NAMN</t>
  </si>
  <si>
    <t>nn</t>
  </si>
  <si>
    <t>Nazha</t>
  </si>
  <si>
    <t>Namaoui</t>
  </si>
  <si>
    <t>Nazha Namaoui</t>
  </si>
  <si>
    <t>DEVD</t>
  </si>
  <si>
    <t>dv</t>
  </si>
  <si>
    <t>Dani</t>
  </si>
  <si>
    <t>De Villers</t>
  </si>
  <si>
    <t>Dani De Villers</t>
  </si>
  <si>
    <t>HARA</t>
  </si>
  <si>
    <t>ah</t>
  </si>
  <si>
    <t>Antoine</t>
  </si>
  <si>
    <t>Harfouche</t>
  </si>
  <si>
    <t>Antoine Harfouche</t>
  </si>
  <si>
    <t>LUSL</t>
  </si>
  <si>
    <t>ll</t>
  </si>
  <si>
    <t>Laurent</t>
  </si>
  <si>
    <t>Lussier-Lalonde</t>
  </si>
  <si>
    <t>Laurent Lussier-Lalonde</t>
  </si>
  <si>
    <t>Cohort_Type</t>
  </si>
  <si>
    <t>Name_Pattern</t>
  </si>
  <si>
    <t>Duration_Months</t>
  </si>
  <si>
    <t>Hours_Per_Day</t>
  </si>
  <si>
    <t>Days_Per_Week</t>
  </si>
  <si>
    <t>Uses_Period1</t>
  </si>
  <si>
    <t>Uses_Period2</t>
  </si>
  <si>
    <t>Period1_Start</t>
  </si>
  <si>
    <t>Period1_End</t>
  </si>
  <si>
    <t>Period2_Start</t>
  </si>
  <si>
    <t>Period2_End</t>
  </si>
  <si>
    <t>Default_Size</t>
  </si>
  <si>
    <t>Special_Rules</t>
  </si>
  <si>
    <t>Regular_Day</t>
  </si>
  <si>
    <t>ELEM2XX</t>
  </si>
  <si>
    <t>7:55</t>
  </si>
  <si>
    <t>11:10</t>
  </si>
  <si>
    <t>12:00</t>
  </si>
  <si>
    <t>15:15</t>
  </si>
  <si>
    <t>5281/5388</t>
  </si>
  <si>
    <t>C2 must delay for waitlist / Math first month</t>
  </si>
  <si>
    <t>Regular_Night</t>
  </si>
  <si>
    <t>ELEM2XX soir</t>
  </si>
  <si>
    <t>18:15</t>
  </si>
  <si>
    <t>18:45</t>
  </si>
  <si>
    <t>21:45</t>
  </si>
  <si>
    <t>C2 must delay for waitlist / Math first month / No breaks</t>
  </si>
  <si>
    <t>Concomitance_Year1</t>
  </si>
  <si>
    <t>ELEM2XX conco</t>
  </si>
  <si>
    <t>15:45</t>
  </si>
  <si>
    <t>9-day rotation / 480hrs Year 1 / Part-time / B010 preferred</t>
  </si>
  <si>
    <t>Concomitance_Year2</t>
  </si>
  <si>
    <t>ELEM2XX conco Y2</t>
  </si>
  <si>
    <t>9-day rotation / 680hrs Year 2 / Part-time / B010 preferred</t>
  </si>
  <si>
    <t>Concomitance_Year3</t>
  </si>
  <si>
    <t>ELEM2XX conco Y3</t>
  </si>
  <si>
    <t>FULL TIME Aug-Jan / 640hrs / Must finish C27 by early Jan for CEGEP</t>
  </si>
  <si>
    <t>Double_DEP</t>
  </si>
  <si>
    <t>ELEM2XX DDEP</t>
  </si>
  <si>
    <t>17:45</t>
  </si>
  <si>
    <t>22:00</t>
  </si>
  <si>
    <t>Mon-Thu only (Fri OFF) / ~600hrs total / Working professionals</t>
  </si>
  <si>
    <t>Rule_ID</t>
  </si>
  <si>
    <t>Rule_Type</t>
  </si>
  <si>
    <t>Description</t>
  </si>
  <si>
    <t>Applies_To</t>
  </si>
  <si>
    <t>Value</t>
  </si>
  <si>
    <t>Priority</t>
  </si>
  <si>
    <t>Mandatory</t>
  </si>
  <si>
    <t>R001</t>
  </si>
  <si>
    <t>C2_Delay</t>
  </si>
  <si>
    <t>Delay C2 to keep waitlist open</t>
  </si>
  <si>
    <t>All cohorts</t>
  </si>
  <si>
    <t>Minimum 3 weeks from start</t>
  </si>
  <si>
    <t>HIGH</t>
  </si>
  <si>
    <t>R002</t>
  </si>
  <si>
    <t>Math_Timing</t>
  </si>
  <si>
    <t>Math must start within first month</t>
  </si>
  <si>
    <t>Week 1-4</t>
  </si>
  <si>
    <t>R003</t>
  </si>
  <si>
    <t>Same_Room</t>
  </si>
  <si>
    <t>Keep cohort in same room per course when possible</t>
  </si>
  <si>
    <t>All courses</t>
  </si>
  <si>
    <t>Preferred</t>
  </si>
  <si>
    <t>MEDIUM</t>
  </si>
  <si>
    <t>R004</t>
  </si>
  <si>
    <t>C002_Max</t>
  </si>
  <si>
    <t>Max groups in machine shop</t>
  </si>
  <si>
    <t>2 groups max</t>
  </si>
  <si>
    <t>R005</t>
  </si>
  <si>
    <t>B107_Exclusive</t>
  </si>
  <si>
    <t>Only one course in B107</t>
  </si>
  <si>
    <t>Exclusive use</t>
  </si>
  <si>
    <t>R006</t>
  </si>
  <si>
    <t>Min_Hours_Week</t>
  </si>
  <si>
    <t>Min hours/week for long courses</t>
  </si>
  <si>
    <t>Courses ≥60hrs</t>
  </si>
  <si>
    <t>12 hours minimum</t>
  </si>
  <si>
    <t>R007</t>
  </si>
  <si>
    <t>No_Double_Shift</t>
  </si>
  <si>
    <t>Avoid teacher teaching day+night</t>
  </si>
  <si>
    <t>All teachers</t>
  </si>
  <si>
    <t>Unless approved</t>
  </si>
  <si>
    <t>R008</t>
  </si>
  <si>
    <t>C11_Exclusive</t>
  </si>
  <si>
    <t>C11 needs C002 with no other groups</t>
  </si>
  <si>
    <t>Exclusive C002</t>
  </si>
  <si>
    <t>R009</t>
  </si>
  <si>
    <t>C17_Same_Room</t>
  </si>
  <si>
    <t>C17 must keep same room throughout</t>
  </si>
  <si>
    <t>Same room</t>
  </si>
  <si>
    <t>R010</t>
  </si>
  <si>
    <t>C26_Exclusive</t>
  </si>
  <si>
    <t>C26 requires exclusive B007</t>
  </si>
  <si>
    <t>Exclusive B007</t>
  </si>
  <si>
    <t>R011</t>
  </si>
  <si>
    <t>C24_Exclusive</t>
  </si>
  <si>
    <t>C24 requires exclusive B107</t>
  </si>
  <si>
    <t>Exclusive B107</t>
  </si>
  <si>
    <t>R012</t>
  </si>
  <si>
    <t>C23_C27_Same_Teacher</t>
  </si>
  <si>
    <t>C23 and C27 must have same teacher</t>
  </si>
  <si>
    <t>C23, C27</t>
  </si>
  <si>
    <t>Same teacher</t>
  </si>
  <si>
    <t>R013</t>
  </si>
  <si>
    <t>C23_Before_C27</t>
  </si>
  <si>
    <t>C23 must start 3 months before C27</t>
  </si>
  <si>
    <t>3 months lead time</t>
  </si>
  <si>
    <t>R014</t>
  </si>
  <si>
    <t>Prereq_Must_Complete</t>
  </si>
  <si>
    <t>Prerequisites must finish before dependent course starts</t>
  </si>
  <si>
    <t>Hard block</t>
  </si>
  <si>
    <t>R015</t>
  </si>
  <si>
    <t>C4_Before_C10</t>
  </si>
  <si>
    <t>C4 must finish before C10 starts</t>
  </si>
  <si>
    <t>C4, C10</t>
  </si>
  <si>
    <t>R016</t>
  </si>
  <si>
    <t>C12_Before_C17</t>
  </si>
  <si>
    <t>C12 must finish before C17 starts</t>
  </si>
  <si>
    <t>C12, C17</t>
  </si>
  <si>
    <t>R017</t>
  </si>
  <si>
    <t>C17_Before_C18</t>
  </si>
  <si>
    <t>C17 must finish before C18 starts</t>
  </si>
  <si>
    <t>C17, C18</t>
  </si>
  <si>
    <t>R018</t>
  </si>
  <si>
    <t>C25_Before_C26</t>
  </si>
  <si>
    <t>C25 must finish before C26 starts</t>
  </si>
  <si>
    <t>C25, C26</t>
  </si>
  <si>
    <t>R019</t>
  </si>
  <si>
    <t>Exam_Spacing_Min</t>
  </si>
  <si>
    <t>Minimum 3 days between exam and récupération</t>
  </si>
  <si>
    <t>All courses with exams</t>
  </si>
  <si>
    <t>3 days minimum</t>
  </si>
  <si>
    <t>R020</t>
  </si>
  <si>
    <t>Exam_Spacing_Preferred</t>
  </si>
  <si>
    <t>Preferred 4-5 days between exam and récupération</t>
  </si>
  <si>
    <t>4-5 days</t>
  </si>
  <si>
    <t>R021</t>
  </si>
  <si>
    <t>Exam_Spacing_Max</t>
  </si>
  <si>
    <t>Maximum 7 days between exam and récupération</t>
  </si>
  <si>
    <t>7 days maximum</t>
  </si>
  <si>
    <t>R022</t>
  </si>
  <si>
    <t>Minimum 2 days between récup and reprise</t>
  </si>
  <si>
    <t>2 days minimum</t>
  </si>
  <si>
    <t>R023</t>
  </si>
  <si>
    <t>Preferred 3-4 days between récup and reprise</t>
  </si>
  <si>
    <t>3-4 days</t>
  </si>
  <si>
    <t>R024</t>
  </si>
  <si>
    <t>Maximum 5 days between récup and reprise</t>
  </si>
  <si>
    <t>5 days maximum</t>
  </si>
  <si>
    <t>R025</t>
  </si>
  <si>
    <t>Recup_Period_Placement</t>
  </si>
  <si>
    <t>Récup must be scheduled in Period 2 (unless same-day bundle)</t>
  </si>
  <si>
    <t>All récup</t>
  </si>
  <si>
    <t>Period 2 only</t>
  </si>
  <si>
    <t>R026</t>
  </si>
  <si>
    <t>Reprise_Period_Placement</t>
  </si>
  <si>
    <t>Reprise must be scheduled in Period 2 (unless same-day bundle)</t>
  </si>
  <si>
    <t>All reprise</t>
  </si>
  <si>
    <t>R027</t>
  </si>
  <si>
    <t>Preferred_Days_Recup_Reprise</t>
  </si>
  <si>
    <t>Prefer Friday/Monday for récup/reprise (long weekends)</t>
  </si>
  <si>
    <t>All récup/reprise</t>
  </si>
  <si>
    <t>Fri/Mon preferred</t>
  </si>
  <si>
    <t>R028</t>
  </si>
  <si>
    <t>Same_Day_Bundle_Allowed</t>
  </si>
  <si>
    <t>Multiple courses can schedule récup/reprise same day</t>
  </si>
  <si>
    <t>Bundling encouraged</t>
  </si>
  <si>
    <t>LOW</t>
  </si>
  <si>
    <t>R029</t>
  </si>
  <si>
    <t>Teacher_Recup_Availability</t>
  </si>
  <si>
    <t>Teacher who taught course must be available for récup/reprise</t>
  </si>
  <si>
    <t>Hard block Period 2</t>
  </si>
  <si>
    <t>R030</t>
  </si>
  <si>
    <t>Course_Overlap_Prevention</t>
  </si>
  <si>
    <t>Minimize same teacher teaching same course to overlapping cohorts</t>
  </si>
  <si>
    <t>Flag warnings</t>
  </si>
  <si>
    <t>R031</t>
  </si>
  <si>
    <t>Course_Finish_Alignment</t>
  </si>
  <si>
    <t>Similar courses should finish near same time across cohorts</t>
  </si>
  <si>
    <t>Similar courses</t>
  </si>
  <si>
    <t>Within 2 weeks</t>
  </si>
  <si>
    <t>R032</t>
  </si>
  <si>
    <t>Night_Cohort_Staggering</t>
  </si>
  <si>
    <t>Night cohorts should stagger to avoid teacher overlap</t>
  </si>
  <si>
    <t>Night cohorts</t>
  </si>
  <si>
    <t>Sequential preferred</t>
  </si>
  <si>
    <t>R033</t>
  </si>
  <si>
    <t>Continuous_30_Hours</t>
  </si>
  <si>
    <t>Students must have 30 hrs/week instruction (no gaps)</t>
  </si>
  <si>
    <t>No curriculum gaps</t>
  </si>
  <si>
    <t>R034</t>
  </si>
  <si>
    <t>Next_Course_Immediate</t>
  </si>
  <si>
    <t>Next course starts same day after exam (no gap)</t>
  </si>
  <si>
    <t>Same-day transition</t>
  </si>
  <si>
    <t>R035</t>
  </si>
  <si>
    <t>Filler_Course_Strategy</t>
  </si>
  <si>
    <t>Use short courses between prerequisites to absorb récup disruption</t>
  </si>
  <si>
    <t>Strategic placement</t>
  </si>
  <si>
    <t>Optimization goal</t>
  </si>
  <si>
    <t>R036</t>
  </si>
  <si>
    <t>Peak_Load_Awareness</t>
  </si>
  <si>
    <t>Sept-Dec can have up to 14 concurrent groups</t>
  </si>
  <si>
    <t>All scheduling</t>
  </si>
  <si>
    <t>14 groups maximum</t>
  </si>
  <si>
    <t>INFO</t>
  </si>
  <si>
    <t>R037</t>
  </si>
  <si>
    <t>Overtime_Budget_Alert</t>
  </si>
  <si>
    <t>Flag when approaching overtime budget limit</t>
  </si>
  <si>
    <t>Management</t>
  </si>
  <si>
    <t>Track cumulative</t>
  </si>
  <si>
    <t>Course</t>
  </si>
  <si>
    <t>Direct_Prerequisites</t>
  </si>
  <si>
    <t>All_Prerequisites_Tree</t>
  </si>
  <si>
    <t>Blocks_Start_Of</t>
  </si>
  <si>
    <t>Level</t>
  </si>
  <si>
    <t>0</t>
  </si>
  <si>
    <t>C7,C8,C9,C13</t>
  </si>
  <si>
    <t>C10,C12</t>
  </si>
  <si>
    <t>C11,C14</t>
  </si>
  <si>
    <t>C17,C19,C20,C22</t>
  </si>
  <si>
    <t>C15,C17,C20,C21</t>
  </si>
  <si>
    <t>C16,C18,C20</t>
  </si>
  <si>
    <t>C2,C4,C12,C15</t>
  </si>
  <si>
    <t>C18,C19,C20,C21,C22</t>
  </si>
  <si>
    <t>C2,C4,C6,C11,C12,C14,C15,C17</t>
  </si>
  <si>
    <t>C2,C4,C10,C12,C17</t>
  </si>
  <si>
    <t>C2,C4,C10,C12,C15,C17,C20</t>
  </si>
  <si>
    <t>C2,C4,C10,C12,C15,C17,C19,C20,C21</t>
  </si>
  <si>
    <t>ALL</t>
  </si>
  <si>
    <t>ALL+C25</t>
  </si>
  <si>
    <t>NO FAILURES</t>
  </si>
  <si>
    <t>Course_Module</t>
  </si>
  <si>
    <t>Required_For</t>
  </si>
  <si>
    <t>Notes</t>
  </si>
  <si>
    <t>Both</t>
  </si>
  <si>
    <t>Math - Any theory room</t>
  </si>
  <si>
    <t>Math - Backup</t>
  </si>
  <si>
    <t>Math - Last resort</t>
  </si>
  <si>
    <t>Métier - Any room</t>
  </si>
  <si>
    <t>Health Safety - Any room</t>
  </si>
  <si>
    <t>Computers required</t>
  </si>
  <si>
    <t>Computers required - 22 stations</t>
  </si>
  <si>
    <t>PRIMARY - Always same room - Electronics benches</t>
  </si>
  <si>
    <t>EMERGENCY ONLY - if B014 unavailable</t>
  </si>
  <si>
    <t>Dessin - Any room</t>
  </si>
  <si>
    <t>Theory</t>
  </si>
  <si>
    <t>Theory portion</t>
  </si>
  <si>
    <t>Practice</t>
  </si>
  <si>
    <t>Machine work - MAX 2 groups</t>
  </si>
  <si>
    <t>Equipment movement - MAX 2 groups</t>
  </si>
  <si>
    <t>Welding area (if needed)</t>
  </si>
  <si>
    <t>Piping work - MAX 2 groups</t>
  </si>
  <si>
    <t>Electronics - Same room as C4 preferred</t>
  </si>
  <si>
    <t>Backup if B014 full</t>
  </si>
  <si>
    <t>EXCLUSIVE - No other groups when C11 using</t>
  </si>
  <si>
    <t>Logic circuits</t>
  </si>
  <si>
    <t>Backup</t>
  </si>
  <si>
    <t>Alignment work - MAX 2 groups</t>
  </si>
  <si>
    <t>Mechanical devices</t>
  </si>
  <si>
    <t>Machine work if needed - MAX 2 groups</t>
  </si>
  <si>
    <t>Pneumatics primary</t>
  </si>
  <si>
    <t>Pneumatics alternate</t>
  </si>
  <si>
    <t>Pneumatics backup</t>
  </si>
  <si>
    <t>Hydraulics - EXCLUSIVE</t>
  </si>
  <si>
    <t>Motors - KEEP SAME ROOM</t>
  </si>
  <si>
    <t>Motors - If C009 full</t>
  </si>
  <si>
    <t>Last resort</t>
  </si>
  <si>
    <t>Maintenance work - MAX 2 groups</t>
  </si>
  <si>
    <t>Control loops - 16 stations</t>
  </si>
  <si>
    <t>Control loops</t>
  </si>
  <si>
    <t>Electropneumatics</t>
  </si>
  <si>
    <t>Automation programming</t>
  </si>
  <si>
    <t>Drive motors</t>
  </si>
  <si>
    <t>Job search - Any room</t>
  </si>
  <si>
    <t>EXCLUSIVE - Installation - NO other groups</t>
  </si>
  <si>
    <t>Maintenance planning</t>
  </si>
  <si>
    <t>Miniusine area</t>
  </si>
  <si>
    <t>EXCLUSIVE - Mini usine - NO other groups</t>
  </si>
  <si>
    <t>Stage - 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</si>
</sst>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sz val="11"/>
      <name val="Calibri"/>
    </font>
    <font>
      <b/>
      <sz val="11"/>
      <name val="Calibri"/>
    </font>
    <font>
      <b/>
      <sz val="14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5B9BD5"/>
        <bgColor rgb="FF5B9BD5"/>
      </patternFill>
    </fill>
    <fill>
      <patternFill patternType="solid">
        <fgColor rgb="FFC55A11"/>
        <bgColor rgb="FFC55A11"/>
      </patternFill>
    </fill>
    <fill>
      <patternFill patternType="solid">
        <fgColor rgb="FFE74C3C"/>
        <bgColor rgb="FFE74C3C"/>
      </patternFill>
    </fill>
    <fill>
      <patternFill patternType="solid">
        <fgColor rgb="FF9B59B6"/>
        <bgColor rgb="FF9B59B6"/>
      </patternFill>
    </fill>
    <fill>
      <patternFill patternType="solid">
        <fgColor rgb="FF16A085"/>
        <bgColor rgb="FF16A085"/>
      </patternFill>
    </fill>
    <fill>
      <patternFill patternType="solid">
        <fgColor rgb="FF2C3E50"/>
        <bgColor rgb="FF2C3E50"/>
      </patternFill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2" fillId="10" borderId="0" xfId="0" applyFont="1" applyFill="1"/>
    <xf numFmtId="0" fontId="3" fillId="0" borderId="0" xfId="0" applyFont="1"/>
    <xf numFmtId="0" fontId="4" fillId="0" borderId="0" xfId="0" applyFont="1"/>
    <xf numFmtId="0" fontId="1" fillId="8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4" fillId="11" borderId="0" xfId="0" applyFont="1" applyFill="1"/>
    <xf numFmtId="0" fontId="5" fillId="10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"/>
  <sheetViews>
    <sheetView workbookViewId="0"/>
  </sheetViews>
  <sheetFormatPr baseColWidth="10" defaultColWidth="9.140625" defaultRowHeight="15" x14ac:dyDescent="0.25"/>
  <cols>
    <col min="1" max="1" width="80" customWidth="1"/>
    <col min="2" max="2" width="40" customWidth="1"/>
  </cols>
  <sheetData>
    <row r="1" spans="1:2" ht="21" x14ac:dyDescent="0.35">
      <c r="A1" s="7" t="s">
        <v>0</v>
      </c>
    </row>
    <row r="2" spans="1:2" x14ac:dyDescent="0.25">
      <c r="A2" s="8"/>
    </row>
    <row r="3" spans="1:2" x14ac:dyDescent="0.25">
      <c r="A3" s="9" t="s">
        <v>1</v>
      </c>
      <c r="B3" t="s">
        <v>2</v>
      </c>
    </row>
    <row r="4" spans="1:2" x14ac:dyDescent="0.25">
      <c r="A4" s="8"/>
    </row>
    <row r="5" spans="1:2" x14ac:dyDescent="0.25">
      <c r="A5" s="9" t="s">
        <v>3</v>
      </c>
    </row>
    <row r="6" spans="1:2" x14ac:dyDescent="0.25">
      <c r="A6" s="8"/>
    </row>
    <row r="7" spans="1:2" x14ac:dyDescent="0.25">
      <c r="A7" s="8" t="s">
        <v>4</v>
      </c>
      <c r="B7" t="s">
        <v>5</v>
      </c>
    </row>
    <row r="8" spans="1:2" x14ac:dyDescent="0.25">
      <c r="A8" s="9" t="s">
        <v>6</v>
      </c>
      <c r="B8" t="s">
        <v>7</v>
      </c>
    </row>
    <row r="9" spans="1:2" x14ac:dyDescent="0.25">
      <c r="A9" s="9" t="s">
        <v>8</v>
      </c>
      <c r="B9" t="s">
        <v>9</v>
      </c>
    </row>
    <row r="10" spans="1:2" x14ac:dyDescent="0.25">
      <c r="A10" s="8"/>
    </row>
    <row r="11" spans="1:2" x14ac:dyDescent="0.25">
      <c r="A11" s="8" t="s">
        <v>10</v>
      </c>
      <c r="B11" t="s">
        <v>11</v>
      </c>
    </row>
    <row r="12" spans="1:2" x14ac:dyDescent="0.25">
      <c r="A12" s="9" t="s">
        <v>6</v>
      </c>
      <c r="B12" t="s">
        <v>12</v>
      </c>
    </row>
    <row r="13" spans="1:2" x14ac:dyDescent="0.25">
      <c r="A13" s="9" t="s">
        <v>8</v>
      </c>
      <c r="B13" t="s">
        <v>13</v>
      </c>
    </row>
    <row r="14" spans="1:2" x14ac:dyDescent="0.25">
      <c r="A14" s="8"/>
    </row>
    <row r="15" spans="1:2" x14ac:dyDescent="0.25">
      <c r="A15" s="8" t="s">
        <v>14</v>
      </c>
      <c r="B15" t="s">
        <v>15</v>
      </c>
    </row>
    <row r="16" spans="1:2" x14ac:dyDescent="0.25">
      <c r="A16" s="9" t="s">
        <v>6</v>
      </c>
      <c r="B16" t="s">
        <v>16</v>
      </c>
    </row>
    <row r="17" spans="1:2" x14ac:dyDescent="0.25">
      <c r="A17" s="9" t="s">
        <v>8</v>
      </c>
      <c r="B17" t="s">
        <v>17</v>
      </c>
    </row>
    <row r="18" spans="1:2" x14ac:dyDescent="0.25">
      <c r="A18" s="8"/>
    </row>
    <row r="19" spans="1:2" x14ac:dyDescent="0.25">
      <c r="A19" s="8" t="s">
        <v>18</v>
      </c>
      <c r="B19" t="s">
        <v>19</v>
      </c>
    </row>
    <row r="20" spans="1:2" x14ac:dyDescent="0.25">
      <c r="A20" s="9" t="s">
        <v>6</v>
      </c>
      <c r="B20" t="s">
        <v>20</v>
      </c>
    </row>
    <row r="21" spans="1:2" x14ac:dyDescent="0.25">
      <c r="A21" s="9" t="s">
        <v>8</v>
      </c>
      <c r="B21" t="s">
        <v>21</v>
      </c>
    </row>
    <row r="22" spans="1:2" x14ac:dyDescent="0.25">
      <c r="A22" s="8"/>
    </row>
    <row r="23" spans="1:2" x14ac:dyDescent="0.25">
      <c r="A23" s="8" t="s">
        <v>22</v>
      </c>
      <c r="B23" t="s">
        <v>23</v>
      </c>
    </row>
    <row r="24" spans="1:2" x14ac:dyDescent="0.25">
      <c r="A24" s="9" t="s">
        <v>6</v>
      </c>
      <c r="B24" t="s">
        <v>24</v>
      </c>
    </row>
    <row r="25" spans="1:2" x14ac:dyDescent="0.25">
      <c r="A25" s="9" t="s">
        <v>8</v>
      </c>
      <c r="B25" t="s">
        <v>25</v>
      </c>
    </row>
    <row r="26" spans="1:2" x14ac:dyDescent="0.25">
      <c r="A26" s="8"/>
    </row>
    <row r="27" spans="1:2" x14ac:dyDescent="0.25">
      <c r="A27" s="8" t="s">
        <v>26</v>
      </c>
      <c r="B27" t="s">
        <v>27</v>
      </c>
    </row>
    <row r="28" spans="1:2" x14ac:dyDescent="0.25">
      <c r="A28" s="9" t="s">
        <v>6</v>
      </c>
      <c r="B28" t="s">
        <v>28</v>
      </c>
    </row>
    <row r="29" spans="1:2" x14ac:dyDescent="0.25">
      <c r="A29" s="9" t="s">
        <v>8</v>
      </c>
      <c r="B29" t="s">
        <v>29</v>
      </c>
    </row>
    <row r="30" spans="1:2" x14ac:dyDescent="0.25">
      <c r="A30" s="8"/>
    </row>
    <row r="31" spans="1:2" x14ac:dyDescent="0.25">
      <c r="A31" s="8" t="s">
        <v>30</v>
      </c>
      <c r="B31" t="s">
        <v>31</v>
      </c>
    </row>
    <row r="32" spans="1:2" x14ac:dyDescent="0.25">
      <c r="A32" s="9" t="s">
        <v>6</v>
      </c>
      <c r="B32" t="s">
        <v>32</v>
      </c>
    </row>
    <row r="33" spans="1:2" x14ac:dyDescent="0.25">
      <c r="A33" s="9" t="s">
        <v>8</v>
      </c>
      <c r="B33" t="s">
        <v>33</v>
      </c>
    </row>
    <row r="34" spans="1:2" x14ac:dyDescent="0.25">
      <c r="A34" s="8"/>
    </row>
    <row r="35" spans="1:2" x14ac:dyDescent="0.25">
      <c r="A35" s="8" t="s">
        <v>34</v>
      </c>
      <c r="B35" t="s">
        <v>35</v>
      </c>
    </row>
    <row r="36" spans="1:2" x14ac:dyDescent="0.25">
      <c r="A36" s="9" t="s">
        <v>6</v>
      </c>
      <c r="B36" t="s">
        <v>36</v>
      </c>
    </row>
    <row r="37" spans="1:2" x14ac:dyDescent="0.25">
      <c r="A37" s="9" t="s">
        <v>8</v>
      </c>
      <c r="B37" t="s">
        <v>37</v>
      </c>
    </row>
    <row r="38" spans="1:2" x14ac:dyDescent="0.25">
      <c r="A38" s="8"/>
    </row>
    <row r="39" spans="1:2" x14ac:dyDescent="0.25">
      <c r="A39" s="9" t="s">
        <v>38</v>
      </c>
    </row>
    <row r="40" spans="1:2" x14ac:dyDescent="0.25">
      <c r="A40" s="8"/>
    </row>
    <row r="41" spans="1:2" x14ac:dyDescent="0.25">
      <c r="A41" s="9" t="s">
        <v>39</v>
      </c>
      <c r="B41" t="s">
        <v>40</v>
      </c>
    </row>
    <row r="42" spans="1:2" x14ac:dyDescent="0.25">
      <c r="A42" s="9" t="s">
        <v>41</v>
      </c>
      <c r="B42" t="s">
        <v>42</v>
      </c>
    </row>
    <row r="43" spans="1:2" x14ac:dyDescent="0.25">
      <c r="A43" s="9" t="s">
        <v>43</v>
      </c>
      <c r="B43" t="s">
        <v>44</v>
      </c>
    </row>
    <row r="44" spans="1:2" x14ac:dyDescent="0.25">
      <c r="A44" s="9" t="s">
        <v>45</v>
      </c>
      <c r="B44" t="s">
        <v>46</v>
      </c>
    </row>
    <row r="45" spans="1:2" x14ac:dyDescent="0.25">
      <c r="A45" s="9" t="s">
        <v>47</v>
      </c>
      <c r="B45" t="s">
        <v>48</v>
      </c>
    </row>
    <row r="46" spans="1:2" x14ac:dyDescent="0.25">
      <c r="A46" s="8"/>
    </row>
    <row r="47" spans="1:2" x14ac:dyDescent="0.25">
      <c r="A47" s="9" t="s">
        <v>49</v>
      </c>
    </row>
    <row r="48" spans="1:2" x14ac:dyDescent="0.25">
      <c r="A48" s="9" t="s">
        <v>50</v>
      </c>
      <c r="B48" t="s">
        <v>51</v>
      </c>
    </row>
    <row r="49" spans="1:2" x14ac:dyDescent="0.25">
      <c r="A49" s="9" t="s">
        <v>52</v>
      </c>
      <c r="B49" t="s">
        <v>53</v>
      </c>
    </row>
    <row r="50" spans="1:2" x14ac:dyDescent="0.25">
      <c r="A50" s="9" t="s">
        <v>54</v>
      </c>
      <c r="B50" t="s">
        <v>55</v>
      </c>
    </row>
    <row r="51" spans="1:2" x14ac:dyDescent="0.25">
      <c r="A51" s="9" t="s">
        <v>56</v>
      </c>
      <c r="B51" t="s">
        <v>57</v>
      </c>
    </row>
    <row r="52" spans="1:2" x14ac:dyDescent="0.25">
      <c r="A52" s="9" t="s">
        <v>58</v>
      </c>
      <c r="B52" t="s">
        <v>59</v>
      </c>
    </row>
    <row r="53" spans="1:2" x14ac:dyDescent="0.25">
      <c r="A53" s="8"/>
    </row>
    <row r="54" spans="1:2" x14ac:dyDescent="0.25">
      <c r="A54" s="8" t="s">
        <v>60</v>
      </c>
      <c r="B54" t="s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2"/>
  <sheetViews>
    <sheetView topLeftCell="A36" workbookViewId="0">
      <selection sqref="A1:C1"/>
    </sheetView>
  </sheetViews>
  <sheetFormatPr baseColWidth="10" defaultColWidth="9.140625" defaultRowHeight="15" x14ac:dyDescent="0.25"/>
  <cols>
    <col min="1" max="1" width="20" customWidth="1"/>
    <col min="2" max="2" width="60" customWidth="1"/>
    <col min="3" max="3" width="40" customWidth="1"/>
  </cols>
  <sheetData>
    <row r="1" spans="1:3" ht="18.75" x14ac:dyDescent="0.3">
      <c r="A1" s="13" t="s">
        <v>62</v>
      </c>
      <c r="B1" s="14"/>
      <c r="C1" s="14"/>
    </row>
    <row r="3" spans="1:3" x14ac:dyDescent="0.25">
      <c r="A3" s="12" t="s">
        <v>63</v>
      </c>
      <c r="B3" s="12" t="s">
        <v>64</v>
      </c>
      <c r="C3" s="12" t="s">
        <v>65</v>
      </c>
    </row>
    <row r="5" spans="1:3" x14ac:dyDescent="0.25">
      <c r="A5" t="s">
        <v>66</v>
      </c>
      <c r="B5" t="s">
        <v>67</v>
      </c>
      <c r="C5" t="s">
        <v>68</v>
      </c>
    </row>
    <row r="6" spans="1:3" x14ac:dyDescent="0.25">
      <c r="C6" t="s">
        <v>69</v>
      </c>
    </row>
    <row r="7" spans="1:3" x14ac:dyDescent="0.25">
      <c r="C7" t="s">
        <v>70</v>
      </c>
    </row>
    <row r="8" spans="1:3" x14ac:dyDescent="0.25">
      <c r="C8" t="s">
        <v>71</v>
      </c>
    </row>
    <row r="10" spans="1:3" x14ac:dyDescent="0.25">
      <c r="A10" t="s">
        <v>66</v>
      </c>
      <c r="B10" t="s">
        <v>72</v>
      </c>
      <c r="C10" t="s">
        <v>73</v>
      </c>
    </row>
    <row r="11" spans="1:3" x14ac:dyDescent="0.25">
      <c r="C11" t="s">
        <v>74</v>
      </c>
    </row>
    <row r="12" spans="1:3" x14ac:dyDescent="0.25">
      <c r="C12" t="s">
        <v>75</v>
      </c>
    </row>
    <row r="13" spans="1:3" x14ac:dyDescent="0.25">
      <c r="C13" t="s">
        <v>76</v>
      </c>
    </row>
    <row r="14" spans="1:3" x14ac:dyDescent="0.25">
      <c r="C14" t="s">
        <v>77</v>
      </c>
    </row>
    <row r="15" spans="1:3" x14ac:dyDescent="0.25">
      <c r="C15" t="s">
        <v>78</v>
      </c>
    </row>
    <row r="17" spans="1:3" x14ac:dyDescent="0.25">
      <c r="A17" t="s">
        <v>66</v>
      </c>
      <c r="B17" t="s">
        <v>79</v>
      </c>
      <c r="C17" t="s">
        <v>80</v>
      </c>
    </row>
    <row r="18" spans="1:3" x14ac:dyDescent="0.25">
      <c r="C18" t="s">
        <v>81</v>
      </c>
    </row>
    <row r="19" spans="1:3" x14ac:dyDescent="0.25">
      <c r="C19" t="s">
        <v>82</v>
      </c>
    </row>
    <row r="20" spans="1:3" x14ac:dyDescent="0.25">
      <c r="C20" t="s">
        <v>83</v>
      </c>
    </row>
    <row r="22" spans="1:3" x14ac:dyDescent="0.25">
      <c r="A22" t="s">
        <v>66</v>
      </c>
      <c r="B22" t="s">
        <v>84</v>
      </c>
      <c r="C22" t="s">
        <v>85</v>
      </c>
    </row>
    <row r="23" spans="1:3" x14ac:dyDescent="0.25">
      <c r="C23" t="s">
        <v>86</v>
      </c>
    </row>
    <row r="24" spans="1:3" x14ac:dyDescent="0.25">
      <c r="C24" t="s">
        <v>87</v>
      </c>
    </row>
    <row r="25" spans="1:3" x14ac:dyDescent="0.25">
      <c r="C25" t="s">
        <v>88</v>
      </c>
    </row>
    <row r="26" spans="1:3" x14ac:dyDescent="0.25">
      <c r="C26" t="s">
        <v>89</v>
      </c>
    </row>
    <row r="28" spans="1:3" x14ac:dyDescent="0.25">
      <c r="A28" t="s">
        <v>66</v>
      </c>
      <c r="B28" t="s">
        <v>90</v>
      </c>
      <c r="C28" t="s">
        <v>91</v>
      </c>
    </row>
    <row r="29" spans="1:3" x14ac:dyDescent="0.25">
      <c r="C29" t="s">
        <v>92</v>
      </c>
    </row>
    <row r="30" spans="1:3" x14ac:dyDescent="0.25">
      <c r="C30" t="s">
        <v>93</v>
      </c>
    </row>
    <row r="31" spans="1:3" x14ac:dyDescent="0.25">
      <c r="C31" t="s">
        <v>94</v>
      </c>
    </row>
    <row r="32" spans="1:3" x14ac:dyDescent="0.25">
      <c r="C32" t="s">
        <v>95</v>
      </c>
    </row>
    <row r="33" spans="1:3" x14ac:dyDescent="0.25">
      <c r="C33" t="s">
        <v>96</v>
      </c>
    </row>
    <row r="34" spans="1:3" x14ac:dyDescent="0.25">
      <c r="C34" t="s">
        <v>97</v>
      </c>
    </row>
    <row r="35" spans="1:3" x14ac:dyDescent="0.25">
      <c r="C35" t="s">
        <v>98</v>
      </c>
    </row>
    <row r="36" spans="1:3" x14ac:dyDescent="0.25">
      <c r="C36" t="s">
        <v>99</v>
      </c>
    </row>
    <row r="38" spans="1:3" x14ac:dyDescent="0.25">
      <c r="A38" t="s">
        <v>100</v>
      </c>
    </row>
    <row r="39" spans="1:3" x14ac:dyDescent="0.25">
      <c r="B39" t="s">
        <v>101</v>
      </c>
      <c r="C39" t="s">
        <v>102</v>
      </c>
    </row>
    <row r="40" spans="1:3" x14ac:dyDescent="0.25">
      <c r="B40" t="s">
        <v>103</v>
      </c>
      <c r="C40" t="s">
        <v>104</v>
      </c>
    </row>
    <row r="41" spans="1:3" x14ac:dyDescent="0.25">
      <c r="B41" t="s">
        <v>105</v>
      </c>
      <c r="C41" t="s">
        <v>106</v>
      </c>
    </row>
    <row r="42" spans="1:3" x14ac:dyDescent="0.25">
      <c r="B42" t="s">
        <v>107</v>
      </c>
      <c r="C42" t="s">
        <v>108</v>
      </c>
    </row>
    <row r="43" spans="1:3" x14ac:dyDescent="0.25">
      <c r="B43" t="s">
        <v>109</v>
      </c>
      <c r="C43" t="s">
        <v>110</v>
      </c>
    </row>
    <row r="44" spans="1:3" x14ac:dyDescent="0.25">
      <c r="B44" t="s">
        <v>111</v>
      </c>
      <c r="C44" t="s">
        <v>112</v>
      </c>
    </row>
    <row r="45" spans="1:3" x14ac:dyDescent="0.25">
      <c r="B45" t="s">
        <v>113</v>
      </c>
      <c r="C45" t="s">
        <v>114</v>
      </c>
    </row>
    <row r="47" spans="1:3" x14ac:dyDescent="0.25">
      <c r="A47" t="s">
        <v>115</v>
      </c>
    </row>
    <row r="48" spans="1:3" x14ac:dyDescent="0.25">
      <c r="B48" t="s">
        <v>116</v>
      </c>
      <c r="C48" t="s">
        <v>117</v>
      </c>
    </row>
    <row r="49" spans="2:3" x14ac:dyDescent="0.25">
      <c r="B49" t="s">
        <v>118</v>
      </c>
      <c r="C49" t="s">
        <v>119</v>
      </c>
    </row>
    <row r="50" spans="2:3" x14ac:dyDescent="0.25">
      <c r="B50" t="s">
        <v>120</v>
      </c>
      <c r="C50" t="s">
        <v>121</v>
      </c>
    </row>
    <row r="51" spans="2:3" x14ac:dyDescent="0.25">
      <c r="B51" t="s">
        <v>122</v>
      </c>
      <c r="C51" t="s">
        <v>123</v>
      </c>
    </row>
    <row r="52" spans="2:3" x14ac:dyDescent="0.25">
      <c r="B52" t="s">
        <v>124</v>
      </c>
      <c r="C52" t="s">
        <v>125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29"/>
  <sheetViews>
    <sheetView workbookViewId="0"/>
  </sheetViews>
  <sheetFormatPr baseColWidth="10" defaultColWidth="9.140625" defaultRowHeight="15" x14ac:dyDescent="0.25"/>
  <cols>
    <col min="1" max="49" width="18" customWidth="1"/>
  </cols>
  <sheetData>
    <row r="1" spans="1:49" ht="30" x14ac:dyDescent="0.25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145</v>
      </c>
      <c r="U1" s="1" t="s">
        <v>146</v>
      </c>
      <c r="V1" s="1" t="s">
        <v>147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  <c r="AC1" s="1" t="s">
        <v>154</v>
      </c>
      <c r="AD1" s="1" t="s">
        <v>155</v>
      </c>
      <c r="AE1" s="1" t="s">
        <v>156</v>
      </c>
      <c r="AF1" s="1" t="s">
        <v>157</v>
      </c>
      <c r="AG1" s="1" t="s">
        <v>158</v>
      </c>
      <c r="AH1" s="1" t="s">
        <v>159</v>
      </c>
      <c r="AI1" s="1" t="s">
        <v>160</v>
      </c>
      <c r="AJ1" s="1" t="s">
        <v>161</v>
      </c>
      <c r="AK1" s="1" t="s">
        <v>162</v>
      </c>
      <c r="AL1" s="1" t="s">
        <v>163</v>
      </c>
      <c r="AM1" s="1" t="s">
        <v>164</v>
      </c>
      <c r="AN1" s="1" t="s">
        <v>165</v>
      </c>
      <c r="AO1" s="1" t="s">
        <v>166</v>
      </c>
      <c r="AP1" s="1" t="s">
        <v>167</v>
      </c>
      <c r="AQ1" s="1" t="s">
        <v>168</v>
      </c>
      <c r="AR1" s="1" t="s">
        <v>169</v>
      </c>
      <c r="AS1" s="1" t="s">
        <v>170</v>
      </c>
      <c r="AT1" s="1" t="s">
        <v>171</v>
      </c>
      <c r="AU1" s="1" t="s">
        <v>172</v>
      </c>
      <c r="AV1" s="1" t="s">
        <v>173</v>
      </c>
      <c r="AW1" s="1" t="s">
        <v>174</v>
      </c>
    </row>
    <row r="2" spans="1:49" x14ac:dyDescent="0.25">
      <c r="A2" t="s">
        <v>175</v>
      </c>
      <c r="B2" t="s">
        <v>176</v>
      </c>
      <c r="C2" t="s">
        <v>177</v>
      </c>
      <c r="D2">
        <v>24</v>
      </c>
      <c r="E2">
        <f t="shared" ref="E2:E29" si="0">D2/6</f>
        <v>4</v>
      </c>
      <c r="F2" t="s">
        <v>178</v>
      </c>
      <c r="G2" t="s">
        <v>179</v>
      </c>
      <c r="K2" t="s">
        <v>180</v>
      </c>
      <c r="L2" t="s">
        <v>180</v>
      </c>
      <c r="M2" t="s">
        <v>180</v>
      </c>
      <c r="N2" t="s">
        <v>181</v>
      </c>
      <c r="O2" t="s">
        <v>181</v>
      </c>
      <c r="P2" t="s">
        <v>182</v>
      </c>
      <c r="Q2">
        <v>22</v>
      </c>
      <c r="R2" t="s">
        <v>181</v>
      </c>
      <c r="S2" t="s">
        <v>181</v>
      </c>
      <c r="T2" t="s">
        <v>181</v>
      </c>
      <c r="U2" t="s">
        <v>181</v>
      </c>
      <c r="V2" t="s">
        <v>181</v>
      </c>
      <c r="W2" t="s">
        <v>181</v>
      </c>
      <c r="X2" t="s">
        <v>183</v>
      </c>
      <c r="Y2" t="s">
        <v>181</v>
      </c>
      <c r="AA2" t="s">
        <v>181</v>
      </c>
      <c r="AB2" t="s">
        <v>184</v>
      </c>
      <c r="AC2" t="s">
        <v>185</v>
      </c>
      <c r="AD2" t="s">
        <v>181</v>
      </c>
      <c r="AE2" t="s">
        <v>186</v>
      </c>
      <c r="AF2" t="s">
        <v>187</v>
      </c>
      <c r="AH2">
        <v>24</v>
      </c>
      <c r="AI2">
        <v>0</v>
      </c>
      <c r="AJ2">
        <v>0</v>
      </c>
      <c r="AK2">
        <v>0</v>
      </c>
      <c r="AL2">
        <v>3</v>
      </c>
      <c r="AM2">
        <v>4</v>
      </c>
      <c r="AN2">
        <v>7</v>
      </c>
      <c r="AO2">
        <v>2</v>
      </c>
      <c r="AP2">
        <v>3</v>
      </c>
      <c r="AQ2">
        <v>5</v>
      </c>
      <c r="AR2" t="s">
        <v>122</v>
      </c>
      <c r="AS2" t="s">
        <v>122</v>
      </c>
      <c r="AT2" t="s">
        <v>188</v>
      </c>
      <c r="AU2" t="s">
        <v>189</v>
      </c>
      <c r="AV2" t="s">
        <v>180</v>
      </c>
      <c r="AW2" t="s">
        <v>190</v>
      </c>
    </row>
    <row r="3" spans="1:49" x14ac:dyDescent="0.25">
      <c r="A3" t="s">
        <v>191</v>
      </c>
      <c r="B3" t="s">
        <v>192</v>
      </c>
      <c r="C3" t="s">
        <v>193</v>
      </c>
      <c r="D3">
        <v>15</v>
      </c>
      <c r="E3">
        <f t="shared" si="0"/>
        <v>2.5</v>
      </c>
      <c r="F3" t="s">
        <v>178</v>
      </c>
      <c r="G3" t="s">
        <v>194</v>
      </c>
      <c r="K3" t="s">
        <v>180</v>
      </c>
      <c r="L3" t="s">
        <v>180</v>
      </c>
      <c r="M3" t="s">
        <v>180</v>
      </c>
      <c r="N3" t="s">
        <v>181</v>
      </c>
      <c r="O3" t="s">
        <v>181</v>
      </c>
      <c r="P3" t="s">
        <v>181</v>
      </c>
      <c r="Q3">
        <v>0</v>
      </c>
      <c r="R3" t="s">
        <v>181</v>
      </c>
      <c r="S3" t="s">
        <v>181</v>
      </c>
      <c r="T3" t="s">
        <v>181</v>
      </c>
      <c r="U3" t="s">
        <v>181</v>
      </c>
      <c r="V3" t="s">
        <v>181</v>
      </c>
      <c r="W3" t="s">
        <v>181</v>
      </c>
      <c r="X3" t="s">
        <v>195</v>
      </c>
      <c r="Y3" t="s">
        <v>181</v>
      </c>
      <c r="AA3" t="s">
        <v>181</v>
      </c>
      <c r="AB3" t="s">
        <v>196</v>
      </c>
      <c r="AC3" t="s">
        <v>197</v>
      </c>
      <c r="AD3" t="s">
        <v>181</v>
      </c>
      <c r="AE3" t="s">
        <v>186</v>
      </c>
      <c r="AF3" t="s">
        <v>190</v>
      </c>
      <c r="AH3">
        <v>15</v>
      </c>
      <c r="AI3">
        <v>0</v>
      </c>
      <c r="AJ3">
        <v>0</v>
      </c>
      <c r="AK3">
        <v>0</v>
      </c>
      <c r="AL3">
        <v>3</v>
      </c>
      <c r="AM3">
        <v>4</v>
      </c>
      <c r="AN3">
        <v>7</v>
      </c>
      <c r="AO3">
        <v>2</v>
      </c>
      <c r="AP3">
        <v>3</v>
      </c>
      <c r="AQ3">
        <v>5</v>
      </c>
      <c r="AR3" t="s">
        <v>122</v>
      </c>
      <c r="AS3" t="s">
        <v>122</v>
      </c>
      <c r="AT3" t="s">
        <v>188</v>
      </c>
      <c r="AU3" t="s">
        <v>189</v>
      </c>
      <c r="AV3" t="s">
        <v>180</v>
      </c>
      <c r="AW3" t="s">
        <v>190</v>
      </c>
    </row>
    <row r="4" spans="1:49" x14ac:dyDescent="0.25">
      <c r="A4" t="s">
        <v>198</v>
      </c>
      <c r="B4" t="s">
        <v>199</v>
      </c>
      <c r="C4" t="s">
        <v>200</v>
      </c>
      <c r="D4">
        <v>30</v>
      </c>
      <c r="E4">
        <f t="shared" si="0"/>
        <v>5</v>
      </c>
      <c r="F4" t="s">
        <v>178</v>
      </c>
      <c r="G4" t="s">
        <v>201</v>
      </c>
      <c r="K4" t="s">
        <v>180</v>
      </c>
      <c r="L4" t="s">
        <v>180</v>
      </c>
      <c r="M4" t="s">
        <v>180</v>
      </c>
      <c r="N4" t="s">
        <v>181</v>
      </c>
      <c r="O4" t="s">
        <v>181</v>
      </c>
      <c r="P4" t="s">
        <v>181</v>
      </c>
      <c r="Q4">
        <v>0</v>
      </c>
      <c r="R4" t="s">
        <v>181</v>
      </c>
      <c r="S4" t="s">
        <v>181</v>
      </c>
      <c r="T4" t="s">
        <v>181</v>
      </c>
      <c r="U4" t="s">
        <v>181</v>
      </c>
      <c r="V4" t="s">
        <v>181</v>
      </c>
      <c r="W4" t="s">
        <v>181</v>
      </c>
      <c r="X4" t="s">
        <v>183</v>
      </c>
      <c r="Y4" t="s">
        <v>181</v>
      </c>
      <c r="AA4" t="s">
        <v>181</v>
      </c>
      <c r="AB4" t="s">
        <v>202</v>
      </c>
      <c r="AC4" t="s">
        <v>197</v>
      </c>
      <c r="AD4" t="s">
        <v>181</v>
      </c>
      <c r="AE4" t="s">
        <v>186</v>
      </c>
      <c r="AF4" t="s">
        <v>190</v>
      </c>
      <c r="AH4">
        <v>30</v>
      </c>
      <c r="AI4">
        <v>0</v>
      </c>
      <c r="AJ4">
        <v>0</v>
      </c>
      <c r="AK4">
        <v>0</v>
      </c>
      <c r="AL4">
        <v>3</v>
      </c>
      <c r="AM4">
        <v>4</v>
      </c>
      <c r="AN4">
        <v>7</v>
      </c>
      <c r="AO4">
        <v>2</v>
      </c>
      <c r="AP4">
        <v>3</v>
      </c>
      <c r="AQ4">
        <v>5</v>
      </c>
      <c r="AR4" t="s">
        <v>122</v>
      </c>
      <c r="AS4" t="s">
        <v>122</v>
      </c>
      <c r="AT4" t="s">
        <v>188</v>
      </c>
      <c r="AU4" t="s">
        <v>189</v>
      </c>
      <c r="AV4" t="s">
        <v>181</v>
      </c>
    </row>
    <row r="5" spans="1:49" x14ac:dyDescent="0.25">
      <c r="A5" t="s">
        <v>203</v>
      </c>
      <c r="B5" t="s">
        <v>204</v>
      </c>
      <c r="C5" t="s">
        <v>205</v>
      </c>
      <c r="D5">
        <v>24</v>
      </c>
      <c r="E5">
        <f t="shared" si="0"/>
        <v>4</v>
      </c>
      <c r="F5" t="s">
        <v>178</v>
      </c>
      <c r="G5" t="s">
        <v>201</v>
      </c>
      <c r="K5" t="s">
        <v>180</v>
      </c>
      <c r="L5" t="s">
        <v>180</v>
      </c>
      <c r="M5" t="s">
        <v>180</v>
      </c>
      <c r="N5" t="s">
        <v>181</v>
      </c>
      <c r="O5" t="s">
        <v>181</v>
      </c>
      <c r="P5" t="s">
        <v>180</v>
      </c>
      <c r="Q5">
        <v>22</v>
      </c>
      <c r="R5" t="s">
        <v>181</v>
      </c>
      <c r="S5" t="s">
        <v>181</v>
      </c>
      <c r="T5" t="s">
        <v>181</v>
      </c>
      <c r="U5" t="s">
        <v>181</v>
      </c>
      <c r="V5" t="s">
        <v>181</v>
      </c>
      <c r="W5" t="s">
        <v>181</v>
      </c>
      <c r="X5" t="s">
        <v>206</v>
      </c>
      <c r="Y5" t="s">
        <v>181</v>
      </c>
      <c r="AA5" t="s">
        <v>181</v>
      </c>
      <c r="AB5" t="s">
        <v>207</v>
      </c>
      <c r="AC5" t="s">
        <v>208</v>
      </c>
      <c r="AD5" t="s">
        <v>181</v>
      </c>
      <c r="AE5" t="s">
        <v>186</v>
      </c>
      <c r="AF5" t="s">
        <v>190</v>
      </c>
      <c r="AG5" t="s">
        <v>209</v>
      </c>
      <c r="AH5">
        <v>15</v>
      </c>
      <c r="AI5">
        <v>3</v>
      </c>
      <c r="AJ5">
        <v>3</v>
      </c>
      <c r="AK5">
        <v>3</v>
      </c>
      <c r="AL5">
        <v>3</v>
      </c>
      <c r="AM5">
        <v>4</v>
      </c>
      <c r="AN5">
        <v>7</v>
      </c>
      <c r="AO5">
        <v>2</v>
      </c>
      <c r="AP5">
        <v>3</v>
      </c>
      <c r="AQ5">
        <v>5</v>
      </c>
      <c r="AR5" t="s">
        <v>122</v>
      </c>
      <c r="AS5" t="s">
        <v>122</v>
      </c>
      <c r="AT5" t="s">
        <v>188</v>
      </c>
      <c r="AU5" t="s">
        <v>189</v>
      </c>
      <c r="AV5" t="s">
        <v>180</v>
      </c>
      <c r="AW5" t="s">
        <v>190</v>
      </c>
    </row>
    <row r="6" spans="1:49" x14ac:dyDescent="0.25">
      <c r="A6" t="s">
        <v>210</v>
      </c>
      <c r="B6" t="s">
        <v>211</v>
      </c>
      <c r="C6" t="s">
        <v>212</v>
      </c>
      <c r="D6">
        <v>120</v>
      </c>
      <c r="E6">
        <f t="shared" si="0"/>
        <v>20</v>
      </c>
      <c r="F6" t="s">
        <v>178</v>
      </c>
      <c r="G6" t="s">
        <v>213</v>
      </c>
      <c r="I6" t="s">
        <v>214</v>
      </c>
      <c r="J6" t="s">
        <v>215</v>
      </c>
      <c r="K6" t="s">
        <v>180</v>
      </c>
      <c r="L6" t="s">
        <v>180</v>
      </c>
      <c r="M6" t="s">
        <v>180</v>
      </c>
      <c r="N6" t="s">
        <v>181</v>
      </c>
      <c r="O6" t="s">
        <v>181</v>
      </c>
      <c r="P6" t="s">
        <v>180</v>
      </c>
      <c r="Q6">
        <v>22</v>
      </c>
      <c r="R6" t="s">
        <v>180</v>
      </c>
      <c r="S6" t="s">
        <v>181</v>
      </c>
      <c r="T6" t="s">
        <v>181</v>
      </c>
      <c r="U6" t="s">
        <v>181</v>
      </c>
      <c r="V6" t="s">
        <v>181</v>
      </c>
      <c r="W6" t="s">
        <v>181</v>
      </c>
      <c r="X6" t="s">
        <v>216</v>
      </c>
      <c r="Y6" t="s">
        <v>181</v>
      </c>
      <c r="AA6" t="s">
        <v>180</v>
      </c>
      <c r="AB6" t="s">
        <v>217</v>
      </c>
      <c r="AC6" t="s">
        <v>218</v>
      </c>
      <c r="AD6" t="s">
        <v>180</v>
      </c>
      <c r="AE6" t="s">
        <v>186</v>
      </c>
      <c r="AF6" t="s">
        <v>190</v>
      </c>
      <c r="AG6" t="s">
        <v>209</v>
      </c>
      <c r="AH6">
        <v>105</v>
      </c>
      <c r="AI6">
        <v>9</v>
      </c>
      <c r="AJ6">
        <v>3</v>
      </c>
      <c r="AK6">
        <v>3</v>
      </c>
      <c r="AL6">
        <v>3</v>
      </c>
      <c r="AM6">
        <v>4</v>
      </c>
      <c r="AN6">
        <v>7</v>
      </c>
      <c r="AO6">
        <v>2</v>
      </c>
      <c r="AP6">
        <v>3</v>
      </c>
      <c r="AQ6">
        <v>5</v>
      </c>
      <c r="AR6" t="s">
        <v>122</v>
      </c>
      <c r="AS6" t="s">
        <v>122</v>
      </c>
      <c r="AT6" t="s">
        <v>188</v>
      </c>
      <c r="AU6" t="s">
        <v>189</v>
      </c>
      <c r="AV6" t="s">
        <v>181</v>
      </c>
    </row>
    <row r="7" spans="1:49" x14ac:dyDescent="0.25">
      <c r="A7" t="s">
        <v>219</v>
      </c>
      <c r="B7" t="s">
        <v>220</v>
      </c>
      <c r="C7" t="s">
        <v>221</v>
      </c>
      <c r="D7">
        <v>30</v>
      </c>
      <c r="E7">
        <f t="shared" si="0"/>
        <v>5</v>
      </c>
      <c r="F7" t="s">
        <v>178</v>
      </c>
      <c r="G7" t="s">
        <v>222</v>
      </c>
      <c r="K7" t="s">
        <v>180</v>
      </c>
      <c r="L7" t="s">
        <v>180</v>
      </c>
      <c r="M7" t="s">
        <v>180</v>
      </c>
      <c r="N7" t="s">
        <v>181</v>
      </c>
      <c r="O7" t="s">
        <v>181</v>
      </c>
      <c r="P7" t="s">
        <v>181</v>
      </c>
      <c r="Q7">
        <v>0</v>
      </c>
      <c r="R7" t="s">
        <v>181</v>
      </c>
      <c r="S7" t="s">
        <v>181</v>
      </c>
      <c r="T7" t="s">
        <v>181</v>
      </c>
      <c r="U7" t="s">
        <v>181</v>
      </c>
      <c r="V7" t="s">
        <v>181</v>
      </c>
      <c r="W7" t="s">
        <v>181</v>
      </c>
      <c r="X7" t="s">
        <v>183</v>
      </c>
      <c r="Y7" t="s">
        <v>181</v>
      </c>
      <c r="AA7" t="s">
        <v>181</v>
      </c>
      <c r="AC7" t="s">
        <v>208</v>
      </c>
      <c r="AD7" t="s">
        <v>181</v>
      </c>
      <c r="AE7" t="s">
        <v>186</v>
      </c>
      <c r="AF7" t="s">
        <v>190</v>
      </c>
      <c r="AH7">
        <v>21</v>
      </c>
      <c r="AI7">
        <v>3</v>
      </c>
      <c r="AJ7">
        <v>3</v>
      </c>
      <c r="AK7">
        <v>3</v>
      </c>
      <c r="AL7">
        <v>3</v>
      </c>
      <c r="AM7">
        <v>4</v>
      </c>
      <c r="AN7">
        <v>7</v>
      </c>
      <c r="AO7">
        <v>2</v>
      </c>
      <c r="AP7">
        <v>3</v>
      </c>
      <c r="AQ7">
        <v>5</v>
      </c>
      <c r="AR7" t="s">
        <v>122</v>
      </c>
      <c r="AS7" t="s">
        <v>122</v>
      </c>
      <c r="AT7" t="s">
        <v>188</v>
      </c>
      <c r="AU7" t="s">
        <v>189</v>
      </c>
      <c r="AV7" t="s">
        <v>180</v>
      </c>
      <c r="AW7" t="s">
        <v>190</v>
      </c>
    </row>
    <row r="8" spans="1:49" x14ac:dyDescent="0.25">
      <c r="A8" t="s">
        <v>223</v>
      </c>
      <c r="B8" t="s">
        <v>224</v>
      </c>
      <c r="C8" t="s">
        <v>225</v>
      </c>
      <c r="D8">
        <v>105</v>
      </c>
      <c r="E8">
        <f t="shared" si="0"/>
        <v>17.5</v>
      </c>
      <c r="F8" t="s">
        <v>178</v>
      </c>
      <c r="G8" t="s">
        <v>213</v>
      </c>
      <c r="H8" t="s">
        <v>198</v>
      </c>
      <c r="K8" t="s">
        <v>180</v>
      </c>
      <c r="L8" t="s">
        <v>181</v>
      </c>
      <c r="M8" t="s">
        <v>180</v>
      </c>
      <c r="N8" t="s">
        <v>180</v>
      </c>
      <c r="O8" t="s">
        <v>180</v>
      </c>
      <c r="P8" t="s">
        <v>181</v>
      </c>
      <c r="Q8">
        <v>0</v>
      </c>
      <c r="R8" t="s">
        <v>181</v>
      </c>
      <c r="S8" t="s">
        <v>181</v>
      </c>
      <c r="T8" t="s">
        <v>181</v>
      </c>
      <c r="U8" t="s">
        <v>180</v>
      </c>
      <c r="V8" t="s">
        <v>181</v>
      </c>
      <c r="W8" t="s">
        <v>181</v>
      </c>
      <c r="X8" t="s">
        <v>226</v>
      </c>
      <c r="Y8" t="s">
        <v>181</v>
      </c>
      <c r="Z8" t="s">
        <v>227</v>
      </c>
      <c r="AA8" t="s">
        <v>181</v>
      </c>
      <c r="AB8" t="s">
        <v>228</v>
      </c>
      <c r="AC8" t="s">
        <v>229</v>
      </c>
      <c r="AD8" t="s">
        <v>181</v>
      </c>
      <c r="AE8" t="s">
        <v>186</v>
      </c>
      <c r="AF8" t="s">
        <v>227</v>
      </c>
      <c r="AG8" t="s">
        <v>230</v>
      </c>
      <c r="AH8">
        <v>87</v>
      </c>
      <c r="AI8">
        <v>12</v>
      </c>
      <c r="AJ8">
        <v>3</v>
      </c>
      <c r="AK8">
        <v>3</v>
      </c>
      <c r="AL8">
        <v>3</v>
      </c>
      <c r="AM8">
        <v>4</v>
      </c>
      <c r="AN8">
        <v>7</v>
      </c>
      <c r="AO8">
        <v>2</v>
      </c>
      <c r="AP8">
        <v>3</v>
      </c>
      <c r="AQ8">
        <v>5</v>
      </c>
      <c r="AR8" t="s">
        <v>122</v>
      </c>
      <c r="AS8" t="s">
        <v>122</v>
      </c>
      <c r="AT8" t="s">
        <v>188</v>
      </c>
      <c r="AU8" t="s">
        <v>189</v>
      </c>
      <c r="AV8" t="s">
        <v>181</v>
      </c>
    </row>
    <row r="9" spans="1:49" x14ac:dyDescent="0.25">
      <c r="A9" t="s">
        <v>231</v>
      </c>
      <c r="B9" t="s">
        <v>232</v>
      </c>
      <c r="C9" t="s">
        <v>233</v>
      </c>
      <c r="D9">
        <v>30</v>
      </c>
      <c r="E9">
        <f t="shared" si="0"/>
        <v>5</v>
      </c>
      <c r="F9" t="s">
        <v>178</v>
      </c>
      <c r="G9" t="s">
        <v>213</v>
      </c>
      <c r="H9" t="s">
        <v>198</v>
      </c>
      <c r="K9" t="s">
        <v>180</v>
      </c>
      <c r="L9" t="s">
        <v>181</v>
      </c>
      <c r="M9" t="s">
        <v>180</v>
      </c>
      <c r="N9" t="s">
        <v>180</v>
      </c>
      <c r="O9" t="s">
        <v>180</v>
      </c>
      <c r="P9" t="s">
        <v>181</v>
      </c>
      <c r="Q9">
        <v>0</v>
      </c>
      <c r="R9" t="s">
        <v>181</v>
      </c>
      <c r="S9" t="s">
        <v>181</v>
      </c>
      <c r="T9" t="s">
        <v>181</v>
      </c>
      <c r="U9" t="s">
        <v>180</v>
      </c>
      <c r="V9" t="s">
        <v>181</v>
      </c>
      <c r="W9" t="s">
        <v>181</v>
      </c>
      <c r="X9" t="s">
        <v>226</v>
      </c>
      <c r="Y9" t="s">
        <v>181</v>
      </c>
      <c r="Z9" t="s">
        <v>227</v>
      </c>
      <c r="AA9" t="s">
        <v>181</v>
      </c>
      <c r="AB9" t="s">
        <v>228</v>
      </c>
      <c r="AC9" t="s">
        <v>218</v>
      </c>
      <c r="AD9" t="s">
        <v>181</v>
      </c>
      <c r="AE9" t="s">
        <v>186</v>
      </c>
      <c r="AF9" t="s">
        <v>190</v>
      </c>
      <c r="AG9" t="s">
        <v>230</v>
      </c>
      <c r="AH9">
        <v>15</v>
      </c>
      <c r="AI9">
        <v>9</v>
      </c>
      <c r="AJ9">
        <v>3</v>
      </c>
      <c r="AK9">
        <v>3</v>
      </c>
      <c r="AL9">
        <v>3</v>
      </c>
      <c r="AM9">
        <v>4</v>
      </c>
      <c r="AN9">
        <v>7</v>
      </c>
      <c r="AO9">
        <v>2</v>
      </c>
      <c r="AP9">
        <v>3</v>
      </c>
      <c r="AQ9">
        <v>5</v>
      </c>
      <c r="AR9" t="s">
        <v>122</v>
      </c>
      <c r="AS9" t="s">
        <v>122</v>
      </c>
      <c r="AT9" t="s">
        <v>188</v>
      </c>
      <c r="AU9" t="s">
        <v>189</v>
      </c>
      <c r="AV9" t="s">
        <v>180</v>
      </c>
      <c r="AW9" t="s">
        <v>190</v>
      </c>
    </row>
    <row r="10" spans="1:49" x14ac:dyDescent="0.25">
      <c r="A10" t="s">
        <v>234</v>
      </c>
      <c r="B10" t="s">
        <v>235</v>
      </c>
      <c r="C10" t="s">
        <v>236</v>
      </c>
      <c r="D10">
        <v>75</v>
      </c>
      <c r="E10">
        <f t="shared" si="0"/>
        <v>12.5</v>
      </c>
      <c r="F10" t="s">
        <v>178</v>
      </c>
      <c r="G10" t="s">
        <v>213</v>
      </c>
      <c r="H10" t="s">
        <v>198</v>
      </c>
      <c r="K10" t="s">
        <v>180</v>
      </c>
      <c r="L10" t="s">
        <v>181</v>
      </c>
      <c r="M10" t="s">
        <v>180</v>
      </c>
      <c r="N10" t="s">
        <v>181</v>
      </c>
      <c r="O10" t="s">
        <v>181</v>
      </c>
      <c r="P10" t="s">
        <v>181</v>
      </c>
      <c r="Q10">
        <v>0</v>
      </c>
      <c r="R10" t="s">
        <v>181</v>
      </c>
      <c r="S10" t="s">
        <v>181</v>
      </c>
      <c r="T10" t="s">
        <v>181</v>
      </c>
      <c r="U10" t="s">
        <v>181</v>
      </c>
      <c r="V10" t="s">
        <v>180</v>
      </c>
      <c r="W10" t="s">
        <v>181</v>
      </c>
      <c r="X10" t="s">
        <v>237</v>
      </c>
      <c r="Y10" t="s">
        <v>181</v>
      </c>
      <c r="AA10" t="s">
        <v>181</v>
      </c>
      <c r="AC10" t="s">
        <v>238</v>
      </c>
      <c r="AD10" t="s">
        <v>181</v>
      </c>
      <c r="AE10" t="s">
        <v>186</v>
      </c>
      <c r="AF10" t="s">
        <v>227</v>
      </c>
      <c r="AG10" t="s">
        <v>230</v>
      </c>
      <c r="AH10">
        <v>63</v>
      </c>
      <c r="AI10">
        <v>6</v>
      </c>
      <c r="AJ10">
        <v>3</v>
      </c>
      <c r="AK10">
        <v>3</v>
      </c>
      <c r="AL10">
        <v>3</v>
      </c>
      <c r="AM10">
        <v>4</v>
      </c>
      <c r="AN10">
        <v>7</v>
      </c>
      <c r="AO10">
        <v>2</v>
      </c>
      <c r="AP10">
        <v>3</v>
      </c>
      <c r="AQ10">
        <v>5</v>
      </c>
      <c r="AR10" t="s">
        <v>122</v>
      </c>
      <c r="AS10" t="s">
        <v>122</v>
      </c>
      <c r="AT10" t="s">
        <v>188</v>
      </c>
      <c r="AU10" t="s">
        <v>189</v>
      </c>
      <c r="AV10" t="s">
        <v>181</v>
      </c>
    </row>
    <row r="11" spans="1:49" x14ac:dyDescent="0.25">
      <c r="A11" t="s">
        <v>239</v>
      </c>
      <c r="B11" t="s">
        <v>240</v>
      </c>
      <c r="C11" t="s">
        <v>241</v>
      </c>
      <c r="D11">
        <v>30</v>
      </c>
      <c r="E11">
        <f t="shared" si="0"/>
        <v>5</v>
      </c>
      <c r="F11" t="s">
        <v>178</v>
      </c>
      <c r="G11" t="s">
        <v>213</v>
      </c>
      <c r="H11" t="s">
        <v>198</v>
      </c>
      <c r="K11" t="s">
        <v>180</v>
      </c>
      <c r="L11" t="s">
        <v>181</v>
      </c>
      <c r="M11" t="s">
        <v>180</v>
      </c>
      <c r="N11" t="s">
        <v>180</v>
      </c>
      <c r="O11" t="s">
        <v>180</v>
      </c>
      <c r="P11" t="s">
        <v>181</v>
      </c>
      <c r="Q11">
        <v>0</v>
      </c>
      <c r="R11" t="s">
        <v>181</v>
      </c>
      <c r="S11" t="s">
        <v>181</v>
      </c>
      <c r="T11" t="s">
        <v>181</v>
      </c>
      <c r="U11" t="s">
        <v>180</v>
      </c>
      <c r="V11" t="s">
        <v>181</v>
      </c>
      <c r="W11" t="s">
        <v>181</v>
      </c>
      <c r="X11" t="s">
        <v>226</v>
      </c>
      <c r="Y11" t="s">
        <v>181</v>
      </c>
      <c r="Z11" t="s">
        <v>227</v>
      </c>
      <c r="AA11" t="s">
        <v>181</v>
      </c>
      <c r="AB11" t="s">
        <v>228</v>
      </c>
      <c r="AC11" t="s">
        <v>238</v>
      </c>
      <c r="AD11" t="s">
        <v>181</v>
      </c>
      <c r="AE11" t="s">
        <v>186</v>
      </c>
      <c r="AF11" t="s">
        <v>190</v>
      </c>
      <c r="AG11" t="s">
        <v>230</v>
      </c>
      <c r="AH11">
        <v>18</v>
      </c>
      <c r="AI11">
        <v>6</v>
      </c>
      <c r="AJ11">
        <v>3</v>
      </c>
      <c r="AK11">
        <v>3</v>
      </c>
      <c r="AL11">
        <v>3</v>
      </c>
      <c r="AM11">
        <v>4</v>
      </c>
      <c r="AN11">
        <v>7</v>
      </c>
      <c r="AO11">
        <v>2</v>
      </c>
      <c r="AP11">
        <v>3</v>
      </c>
      <c r="AQ11">
        <v>5</v>
      </c>
      <c r="AR11" t="s">
        <v>122</v>
      </c>
      <c r="AS11" t="s">
        <v>122</v>
      </c>
      <c r="AT11" t="s">
        <v>188</v>
      </c>
      <c r="AU11" t="s">
        <v>189</v>
      </c>
      <c r="AV11" t="s">
        <v>180</v>
      </c>
      <c r="AW11" t="s">
        <v>190</v>
      </c>
    </row>
    <row r="12" spans="1:49" x14ac:dyDescent="0.25">
      <c r="A12" t="s">
        <v>214</v>
      </c>
      <c r="B12" t="s">
        <v>242</v>
      </c>
      <c r="C12" t="s">
        <v>243</v>
      </c>
      <c r="D12">
        <v>105</v>
      </c>
      <c r="E12">
        <f t="shared" si="0"/>
        <v>17.5</v>
      </c>
      <c r="F12" t="s">
        <v>178</v>
      </c>
      <c r="G12" t="s">
        <v>213</v>
      </c>
      <c r="H12" t="s">
        <v>244</v>
      </c>
      <c r="J12" t="s">
        <v>245</v>
      </c>
      <c r="K12" t="s">
        <v>180</v>
      </c>
      <c r="L12" t="s">
        <v>180</v>
      </c>
      <c r="M12" t="s">
        <v>180</v>
      </c>
      <c r="N12" t="s">
        <v>181</v>
      </c>
      <c r="O12" t="s">
        <v>181</v>
      </c>
      <c r="P12" t="s">
        <v>180</v>
      </c>
      <c r="Q12">
        <v>22</v>
      </c>
      <c r="R12" t="s">
        <v>180</v>
      </c>
      <c r="S12" t="s">
        <v>181</v>
      </c>
      <c r="T12" t="s">
        <v>181</v>
      </c>
      <c r="U12" t="s">
        <v>181</v>
      </c>
      <c r="V12" t="s">
        <v>181</v>
      </c>
      <c r="W12" t="s">
        <v>181</v>
      </c>
      <c r="X12" t="s">
        <v>216</v>
      </c>
      <c r="Y12" t="s">
        <v>181</v>
      </c>
      <c r="AA12" t="s">
        <v>180</v>
      </c>
      <c r="AB12" t="s">
        <v>246</v>
      </c>
      <c r="AC12" t="s">
        <v>218</v>
      </c>
      <c r="AD12" t="s">
        <v>181</v>
      </c>
      <c r="AE12" t="s">
        <v>186</v>
      </c>
      <c r="AF12" t="s">
        <v>227</v>
      </c>
      <c r="AG12" t="s">
        <v>209</v>
      </c>
      <c r="AH12">
        <v>90</v>
      </c>
      <c r="AI12">
        <v>9</v>
      </c>
      <c r="AJ12">
        <v>3</v>
      </c>
      <c r="AK12">
        <v>3</v>
      </c>
      <c r="AL12">
        <v>3</v>
      </c>
      <c r="AM12">
        <v>4</v>
      </c>
      <c r="AN12">
        <v>7</v>
      </c>
      <c r="AO12">
        <v>2</v>
      </c>
      <c r="AP12">
        <v>3</v>
      </c>
      <c r="AQ12">
        <v>5</v>
      </c>
      <c r="AR12" t="s">
        <v>122</v>
      </c>
      <c r="AS12" t="s">
        <v>122</v>
      </c>
      <c r="AT12" t="s">
        <v>188</v>
      </c>
      <c r="AU12" t="s">
        <v>189</v>
      </c>
      <c r="AV12" t="s">
        <v>181</v>
      </c>
    </row>
    <row r="13" spans="1:49" x14ac:dyDescent="0.25">
      <c r="A13" t="s">
        <v>247</v>
      </c>
      <c r="B13" t="s">
        <v>248</v>
      </c>
      <c r="C13" t="s">
        <v>249</v>
      </c>
      <c r="D13">
        <v>90</v>
      </c>
      <c r="E13">
        <f t="shared" si="0"/>
        <v>15</v>
      </c>
      <c r="F13" t="s">
        <v>178</v>
      </c>
      <c r="G13" t="s">
        <v>213</v>
      </c>
      <c r="H13" t="s">
        <v>250</v>
      </c>
      <c r="K13" t="s">
        <v>181</v>
      </c>
      <c r="L13" t="s">
        <v>181</v>
      </c>
      <c r="M13" t="s">
        <v>181</v>
      </c>
      <c r="N13" t="s">
        <v>180</v>
      </c>
      <c r="O13" t="s">
        <v>180</v>
      </c>
      <c r="P13" t="s">
        <v>181</v>
      </c>
      <c r="Q13">
        <v>0</v>
      </c>
      <c r="R13" t="s">
        <v>181</v>
      </c>
      <c r="S13" t="s">
        <v>181</v>
      </c>
      <c r="T13" t="s">
        <v>181</v>
      </c>
      <c r="U13" t="s">
        <v>180</v>
      </c>
      <c r="V13" t="s">
        <v>181</v>
      </c>
      <c r="W13" t="s">
        <v>181</v>
      </c>
      <c r="X13" t="s">
        <v>226</v>
      </c>
      <c r="Y13" t="s">
        <v>180</v>
      </c>
      <c r="Z13" t="s">
        <v>227</v>
      </c>
      <c r="AA13" t="s">
        <v>181</v>
      </c>
      <c r="AB13" t="s">
        <v>251</v>
      </c>
      <c r="AC13" t="s">
        <v>229</v>
      </c>
      <c r="AD13" t="s">
        <v>181</v>
      </c>
      <c r="AE13" t="s">
        <v>186</v>
      </c>
      <c r="AF13" t="s">
        <v>227</v>
      </c>
      <c r="AG13" t="s">
        <v>230</v>
      </c>
      <c r="AH13">
        <v>72</v>
      </c>
      <c r="AI13">
        <v>12</v>
      </c>
      <c r="AJ13">
        <v>3</v>
      </c>
      <c r="AK13">
        <v>3</v>
      </c>
      <c r="AL13">
        <v>3</v>
      </c>
      <c r="AM13">
        <v>4</v>
      </c>
      <c r="AN13">
        <v>7</v>
      </c>
      <c r="AO13">
        <v>2</v>
      </c>
      <c r="AP13">
        <v>3</v>
      </c>
      <c r="AQ13">
        <v>5</v>
      </c>
      <c r="AR13" t="s">
        <v>122</v>
      </c>
      <c r="AS13" t="s">
        <v>122</v>
      </c>
      <c r="AT13" t="s">
        <v>188</v>
      </c>
      <c r="AU13" t="s">
        <v>189</v>
      </c>
      <c r="AV13" t="s">
        <v>181</v>
      </c>
    </row>
    <row r="14" spans="1:49" x14ac:dyDescent="0.25">
      <c r="A14" t="s">
        <v>252</v>
      </c>
      <c r="B14" t="s">
        <v>253</v>
      </c>
      <c r="C14" t="s">
        <v>254</v>
      </c>
      <c r="D14">
        <v>90</v>
      </c>
      <c r="E14">
        <f t="shared" si="0"/>
        <v>15</v>
      </c>
      <c r="F14" t="s">
        <v>178</v>
      </c>
      <c r="G14" t="s">
        <v>213</v>
      </c>
      <c r="H14" t="s">
        <v>210</v>
      </c>
      <c r="I14" t="s">
        <v>255</v>
      </c>
      <c r="K14" t="s">
        <v>180</v>
      </c>
      <c r="L14" t="s">
        <v>181</v>
      </c>
      <c r="M14" t="s">
        <v>180</v>
      </c>
      <c r="N14" t="s">
        <v>181</v>
      </c>
      <c r="O14" t="s">
        <v>181</v>
      </c>
      <c r="P14" t="s">
        <v>180</v>
      </c>
      <c r="Q14">
        <v>22</v>
      </c>
      <c r="R14" t="s">
        <v>180</v>
      </c>
      <c r="S14" t="s">
        <v>181</v>
      </c>
      <c r="T14" t="s">
        <v>181</v>
      </c>
      <c r="U14" t="s">
        <v>181</v>
      </c>
      <c r="V14" t="s">
        <v>181</v>
      </c>
      <c r="W14" t="s">
        <v>181</v>
      </c>
      <c r="X14" t="s">
        <v>256</v>
      </c>
      <c r="Y14" t="s">
        <v>181</v>
      </c>
      <c r="AA14" t="s">
        <v>181</v>
      </c>
      <c r="AB14" t="s">
        <v>257</v>
      </c>
      <c r="AC14" t="s">
        <v>218</v>
      </c>
      <c r="AD14" t="s">
        <v>181</v>
      </c>
      <c r="AE14" t="s">
        <v>186</v>
      </c>
      <c r="AF14" t="s">
        <v>227</v>
      </c>
      <c r="AG14" t="s">
        <v>209</v>
      </c>
      <c r="AH14">
        <v>75</v>
      </c>
      <c r="AI14">
        <v>9</v>
      </c>
      <c r="AJ14">
        <v>3</v>
      </c>
      <c r="AK14">
        <v>3</v>
      </c>
      <c r="AL14">
        <v>3</v>
      </c>
      <c r="AM14">
        <v>4</v>
      </c>
      <c r="AN14">
        <v>7</v>
      </c>
      <c r="AO14">
        <v>2</v>
      </c>
      <c r="AP14">
        <v>3</v>
      </c>
      <c r="AQ14">
        <v>5</v>
      </c>
      <c r="AR14" t="s">
        <v>122</v>
      </c>
      <c r="AS14" t="s">
        <v>122</v>
      </c>
      <c r="AT14" t="s">
        <v>188</v>
      </c>
      <c r="AU14" t="s">
        <v>189</v>
      </c>
      <c r="AV14" t="s">
        <v>181</v>
      </c>
    </row>
    <row r="15" spans="1:49" x14ac:dyDescent="0.25">
      <c r="A15" t="s">
        <v>258</v>
      </c>
      <c r="B15" t="s">
        <v>259</v>
      </c>
      <c r="C15" t="s">
        <v>260</v>
      </c>
      <c r="D15">
        <v>36</v>
      </c>
      <c r="E15">
        <f t="shared" si="0"/>
        <v>6</v>
      </c>
      <c r="F15" t="s">
        <v>178</v>
      </c>
      <c r="G15" t="s">
        <v>213</v>
      </c>
      <c r="H15" t="s">
        <v>198</v>
      </c>
      <c r="K15" t="s">
        <v>181</v>
      </c>
      <c r="L15" t="s">
        <v>181</v>
      </c>
      <c r="M15" t="s">
        <v>181</v>
      </c>
      <c r="N15" t="s">
        <v>180</v>
      </c>
      <c r="O15" t="s">
        <v>180</v>
      </c>
      <c r="P15" t="s">
        <v>181</v>
      </c>
      <c r="Q15">
        <v>0</v>
      </c>
      <c r="R15" t="s">
        <v>181</v>
      </c>
      <c r="S15" t="s">
        <v>181</v>
      </c>
      <c r="T15" t="s">
        <v>181</v>
      </c>
      <c r="U15" t="s">
        <v>180</v>
      </c>
      <c r="V15" t="s">
        <v>181</v>
      </c>
      <c r="W15" t="s">
        <v>181</v>
      </c>
      <c r="X15" t="s">
        <v>226</v>
      </c>
      <c r="Y15" t="s">
        <v>181</v>
      </c>
      <c r="Z15" t="s">
        <v>227</v>
      </c>
      <c r="AA15" t="s">
        <v>181</v>
      </c>
      <c r="AB15" t="s">
        <v>261</v>
      </c>
      <c r="AC15" t="s">
        <v>238</v>
      </c>
      <c r="AD15" t="s">
        <v>181</v>
      </c>
      <c r="AE15" t="s">
        <v>186</v>
      </c>
      <c r="AF15" t="s">
        <v>227</v>
      </c>
      <c r="AG15" t="s">
        <v>230</v>
      </c>
      <c r="AH15">
        <v>24</v>
      </c>
      <c r="AI15">
        <v>6</v>
      </c>
      <c r="AJ15">
        <v>3</v>
      </c>
      <c r="AK15">
        <v>3</v>
      </c>
      <c r="AL15">
        <v>3</v>
      </c>
      <c r="AM15">
        <v>4</v>
      </c>
      <c r="AN15">
        <v>7</v>
      </c>
      <c r="AO15">
        <v>2</v>
      </c>
      <c r="AP15">
        <v>3</v>
      </c>
      <c r="AQ15">
        <v>5</v>
      </c>
      <c r="AR15" t="s">
        <v>122</v>
      </c>
      <c r="AS15" t="s">
        <v>122</v>
      </c>
      <c r="AT15" t="s">
        <v>188</v>
      </c>
      <c r="AU15" t="s">
        <v>189</v>
      </c>
      <c r="AV15" t="s">
        <v>181</v>
      </c>
    </row>
    <row r="16" spans="1:49" x14ac:dyDescent="0.25">
      <c r="A16" t="s">
        <v>262</v>
      </c>
      <c r="B16" t="s">
        <v>263</v>
      </c>
      <c r="C16" t="s">
        <v>264</v>
      </c>
      <c r="D16">
        <v>105</v>
      </c>
      <c r="E16">
        <f t="shared" si="0"/>
        <v>17.5</v>
      </c>
      <c r="F16" t="s">
        <v>178</v>
      </c>
      <c r="G16" t="s">
        <v>213</v>
      </c>
      <c r="H16" t="s">
        <v>265</v>
      </c>
      <c r="K16" t="s">
        <v>181</v>
      </c>
      <c r="L16" t="s">
        <v>181</v>
      </c>
      <c r="M16" t="s">
        <v>181</v>
      </c>
      <c r="N16" t="s">
        <v>181</v>
      </c>
      <c r="O16" t="s">
        <v>180</v>
      </c>
      <c r="P16" t="s">
        <v>181</v>
      </c>
      <c r="Q16">
        <v>0</v>
      </c>
      <c r="R16" t="s">
        <v>181</v>
      </c>
      <c r="S16" t="s">
        <v>181</v>
      </c>
      <c r="T16" t="s">
        <v>181</v>
      </c>
      <c r="U16" t="s">
        <v>181</v>
      </c>
      <c r="V16" t="s">
        <v>181</v>
      </c>
      <c r="W16" t="s">
        <v>180</v>
      </c>
      <c r="X16" t="s">
        <v>266</v>
      </c>
      <c r="Y16" t="s">
        <v>181</v>
      </c>
      <c r="Z16" t="s">
        <v>227</v>
      </c>
      <c r="AA16" t="s">
        <v>181</v>
      </c>
      <c r="AB16" t="s">
        <v>267</v>
      </c>
      <c r="AC16" t="s">
        <v>229</v>
      </c>
      <c r="AD16" t="s">
        <v>181</v>
      </c>
      <c r="AE16" t="s">
        <v>186</v>
      </c>
      <c r="AF16" t="s">
        <v>227</v>
      </c>
      <c r="AG16" t="s">
        <v>230</v>
      </c>
      <c r="AH16">
        <v>87</v>
      </c>
      <c r="AI16">
        <v>12</v>
      </c>
      <c r="AJ16">
        <v>3</v>
      </c>
      <c r="AK16">
        <v>3</v>
      </c>
      <c r="AL16">
        <v>3</v>
      </c>
      <c r="AM16">
        <v>4</v>
      </c>
      <c r="AN16">
        <v>7</v>
      </c>
      <c r="AO16">
        <v>2</v>
      </c>
      <c r="AP16">
        <v>3</v>
      </c>
      <c r="AQ16">
        <v>5</v>
      </c>
      <c r="AR16" t="s">
        <v>122</v>
      </c>
      <c r="AS16" t="s">
        <v>122</v>
      </c>
      <c r="AT16" t="s">
        <v>188</v>
      </c>
      <c r="AU16" t="s">
        <v>189</v>
      </c>
      <c r="AV16" t="s">
        <v>181</v>
      </c>
    </row>
    <row r="17" spans="1:49" x14ac:dyDescent="0.25">
      <c r="A17" t="s">
        <v>268</v>
      </c>
      <c r="B17" t="s">
        <v>269</v>
      </c>
      <c r="C17" t="s">
        <v>270</v>
      </c>
      <c r="D17">
        <v>75</v>
      </c>
      <c r="E17">
        <f t="shared" si="0"/>
        <v>12.5</v>
      </c>
      <c r="F17" t="s">
        <v>178</v>
      </c>
      <c r="G17" t="s">
        <v>213</v>
      </c>
      <c r="H17" t="s">
        <v>271</v>
      </c>
      <c r="K17" t="s">
        <v>180</v>
      </c>
      <c r="L17" t="s">
        <v>181</v>
      </c>
      <c r="M17" t="s">
        <v>180</v>
      </c>
      <c r="N17" t="s">
        <v>181</v>
      </c>
      <c r="O17" t="s">
        <v>180</v>
      </c>
      <c r="P17" t="s">
        <v>181</v>
      </c>
      <c r="Q17">
        <v>0</v>
      </c>
      <c r="R17" t="s">
        <v>181</v>
      </c>
      <c r="S17" t="s">
        <v>181</v>
      </c>
      <c r="T17" t="s">
        <v>180</v>
      </c>
      <c r="U17" t="s">
        <v>181</v>
      </c>
      <c r="V17" t="s">
        <v>181</v>
      </c>
      <c r="W17" t="s">
        <v>181</v>
      </c>
      <c r="X17" t="s">
        <v>272</v>
      </c>
      <c r="Y17" t="s">
        <v>181</v>
      </c>
      <c r="AA17" t="s">
        <v>181</v>
      </c>
      <c r="AC17" t="s">
        <v>218</v>
      </c>
      <c r="AD17" t="s">
        <v>181</v>
      </c>
      <c r="AE17" t="s">
        <v>186</v>
      </c>
      <c r="AF17" t="s">
        <v>227</v>
      </c>
      <c r="AG17" t="s">
        <v>230</v>
      </c>
      <c r="AH17">
        <v>60</v>
      </c>
      <c r="AI17">
        <v>9</v>
      </c>
      <c r="AJ17">
        <v>3</v>
      </c>
      <c r="AK17">
        <v>3</v>
      </c>
      <c r="AL17">
        <v>3</v>
      </c>
      <c r="AM17">
        <v>4</v>
      </c>
      <c r="AN17">
        <v>7</v>
      </c>
      <c r="AO17">
        <v>2</v>
      </c>
      <c r="AP17">
        <v>3</v>
      </c>
      <c r="AQ17">
        <v>5</v>
      </c>
      <c r="AR17" t="s">
        <v>122</v>
      </c>
      <c r="AS17" t="s">
        <v>122</v>
      </c>
      <c r="AT17" t="s">
        <v>188</v>
      </c>
      <c r="AU17" t="s">
        <v>189</v>
      </c>
      <c r="AV17" t="s">
        <v>181</v>
      </c>
    </row>
    <row r="18" spans="1:49" x14ac:dyDescent="0.25">
      <c r="A18" t="s">
        <v>273</v>
      </c>
      <c r="B18" t="s">
        <v>274</v>
      </c>
      <c r="C18" t="s">
        <v>275</v>
      </c>
      <c r="D18">
        <v>60</v>
      </c>
      <c r="E18">
        <f t="shared" si="0"/>
        <v>10</v>
      </c>
      <c r="F18" t="s">
        <v>178</v>
      </c>
      <c r="G18" t="s">
        <v>213</v>
      </c>
      <c r="H18" t="s">
        <v>276</v>
      </c>
      <c r="K18" t="s">
        <v>180</v>
      </c>
      <c r="L18" t="s">
        <v>181</v>
      </c>
      <c r="M18" t="s">
        <v>180</v>
      </c>
      <c r="N18" t="s">
        <v>181</v>
      </c>
      <c r="O18" t="s">
        <v>181</v>
      </c>
      <c r="P18" t="s">
        <v>181</v>
      </c>
      <c r="Q18">
        <v>0</v>
      </c>
      <c r="R18" t="s">
        <v>181</v>
      </c>
      <c r="S18" t="s">
        <v>180</v>
      </c>
      <c r="T18" t="s">
        <v>181</v>
      </c>
      <c r="U18" t="s">
        <v>181</v>
      </c>
      <c r="V18" t="s">
        <v>181</v>
      </c>
      <c r="W18" t="s">
        <v>181</v>
      </c>
      <c r="X18" t="s">
        <v>277</v>
      </c>
      <c r="Y18" t="s">
        <v>181</v>
      </c>
      <c r="AA18" t="s">
        <v>181</v>
      </c>
      <c r="AC18" t="s">
        <v>218</v>
      </c>
      <c r="AD18" t="s">
        <v>181</v>
      </c>
      <c r="AE18" t="s">
        <v>186</v>
      </c>
      <c r="AF18" t="s">
        <v>278</v>
      </c>
      <c r="AG18" t="s">
        <v>230</v>
      </c>
      <c r="AH18">
        <v>45</v>
      </c>
      <c r="AI18">
        <v>9</v>
      </c>
      <c r="AJ18">
        <v>3</v>
      </c>
      <c r="AK18">
        <v>3</v>
      </c>
      <c r="AL18">
        <v>3</v>
      </c>
      <c r="AM18">
        <v>4</v>
      </c>
      <c r="AN18">
        <v>7</v>
      </c>
      <c r="AO18">
        <v>2</v>
      </c>
      <c r="AP18">
        <v>3</v>
      </c>
      <c r="AQ18">
        <v>5</v>
      </c>
      <c r="AR18" t="s">
        <v>122</v>
      </c>
      <c r="AS18" t="s">
        <v>122</v>
      </c>
      <c r="AT18" t="s">
        <v>188</v>
      </c>
      <c r="AU18" t="s">
        <v>189</v>
      </c>
      <c r="AV18" t="s">
        <v>181</v>
      </c>
    </row>
    <row r="19" spans="1:49" x14ac:dyDescent="0.25">
      <c r="A19" t="s">
        <v>255</v>
      </c>
      <c r="B19" t="s">
        <v>279</v>
      </c>
      <c r="C19" t="s">
        <v>280</v>
      </c>
      <c r="D19">
        <v>105</v>
      </c>
      <c r="E19">
        <f t="shared" si="0"/>
        <v>17.5</v>
      </c>
      <c r="F19" t="s">
        <v>178</v>
      </c>
      <c r="G19" t="s">
        <v>213</v>
      </c>
      <c r="H19" t="s">
        <v>281</v>
      </c>
      <c r="K19" t="s">
        <v>181</v>
      </c>
      <c r="L19" t="s">
        <v>181</v>
      </c>
      <c r="M19" t="s">
        <v>181</v>
      </c>
      <c r="N19" t="s">
        <v>181</v>
      </c>
      <c r="O19" t="s">
        <v>180</v>
      </c>
      <c r="P19" t="s">
        <v>181</v>
      </c>
      <c r="Q19">
        <v>0</v>
      </c>
      <c r="R19" t="s">
        <v>181</v>
      </c>
      <c r="S19" t="s">
        <v>181</v>
      </c>
      <c r="T19" t="s">
        <v>181</v>
      </c>
      <c r="U19" t="s">
        <v>181</v>
      </c>
      <c r="V19" t="s">
        <v>181</v>
      </c>
      <c r="W19" t="s">
        <v>181</v>
      </c>
      <c r="X19" t="s">
        <v>272</v>
      </c>
      <c r="Y19" t="s">
        <v>181</v>
      </c>
      <c r="AA19" t="s">
        <v>180</v>
      </c>
      <c r="AB19" t="s">
        <v>282</v>
      </c>
      <c r="AC19" t="s">
        <v>218</v>
      </c>
      <c r="AD19" t="s">
        <v>181</v>
      </c>
      <c r="AE19" t="s">
        <v>186</v>
      </c>
      <c r="AF19" t="s">
        <v>278</v>
      </c>
      <c r="AG19" t="s">
        <v>230</v>
      </c>
      <c r="AH19">
        <v>90</v>
      </c>
      <c r="AI19">
        <v>9</v>
      </c>
      <c r="AJ19">
        <v>3</v>
      </c>
      <c r="AK19">
        <v>3</v>
      </c>
      <c r="AL19">
        <v>3</v>
      </c>
      <c r="AM19">
        <v>4</v>
      </c>
      <c r="AN19">
        <v>7</v>
      </c>
      <c r="AO19">
        <v>2</v>
      </c>
      <c r="AP19">
        <v>3</v>
      </c>
      <c r="AQ19">
        <v>5</v>
      </c>
      <c r="AR19" t="s">
        <v>122</v>
      </c>
      <c r="AS19" t="s">
        <v>122</v>
      </c>
      <c r="AT19" t="s">
        <v>188</v>
      </c>
      <c r="AU19" t="s">
        <v>189</v>
      </c>
      <c r="AV19" t="s">
        <v>181</v>
      </c>
    </row>
    <row r="20" spans="1:49" x14ac:dyDescent="0.25">
      <c r="A20" t="s">
        <v>283</v>
      </c>
      <c r="B20" t="s">
        <v>284</v>
      </c>
      <c r="C20" t="s">
        <v>285</v>
      </c>
      <c r="D20">
        <v>60</v>
      </c>
      <c r="E20">
        <f t="shared" si="0"/>
        <v>10</v>
      </c>
      <c r="F20" t="s">
        <v>178</v>
      </c>
      <c r="G20" t="s">
        <v>213</v>
      </c>
      <c r="H20" t="s">
        <v>286</v>
      </c>
      <c r="K20" t="s">
        <v>181</v>
      </c>
      <c r="L20" t="s">
        <v>181</v>
      </c>
      <c r="M20" t="s">
        <v>181</v>
      </c>
      <c r="N20" t="s">
        <v>180</v>
      </c>
      <c r="O20" t="s">
        <v>180</v>
      </c>
      <c r="P20" t="s">
        <v>181</v>
      </c>
      <c r="Q20">
        <v>0</v>
      </c>
      <c r="R20" t="s">
        <v>181</v>
      </c>
      <c r="S20" t="s">
        <v>181</v>
      </c>
      <c r="T20" t="s">
        <v>180</v>
      </c>
      <c r="U20" t="s">
        <v>180</v>
      </c>
      <c r="V20" t="s">
        <v>181</v>
      </c>
      <c r="W20" t="s">
        <v>181</v>
      </c>
      <c r="X20" t="s">
        <v>287</v>
      </c>
      <c r="Y20" t="s">
        <v>181</v>
      </c>
      <c r="Z20" t="s">
        <v>227</v>
      </c>
      <c r="AA20" t="s">
        <v>181</v>
      </c>
      <c r="AB20" t="s">
        <v>288</v>
      </c>
      <c r="AC20" t="s">
        <v>218</v>
      </c>
      <c r="AD20" t="s">
        <v>181</v>
      </c>
      <c r="AE20" t="s">
        <v>186</v>
      </c>
      <c r="AF20" t="s">
        <v>278</v>
      </c>
      <c r="AG20" t="s">
        <v>230</v>
      </c>
      <c r="AH20">
        <v>45</v>
      </c>
      <c r="AI20">
        <v>9</v>
      </c>
      <c r="AJ20">
        <v>3</v>
      </c>
      <c r="AK20">
        <v>3</v>
      </c>
      <c r="AL20">
        <v>3</v>
      </c>
      <c r="AM20">
        <v>4</v>
      </c>
      <c r="AN20">
        <v>7</v>
      </c>
      <c r="AO20">
        <v>2</v>
      </c>
      <c r="AP20">
        <v>3</v>
      </c>
      <c r="AQ20">
        <v>5</v>
      </c>
      <c r="AR20" t="s">
        <v>122</v>
      </c>
      <c r="AS20" t="s">
        <v>122</v>
      </c>
      <c r="AT20" t="s">
        <v>188</v>
      </c>
      <c r="AU20" t="s">
        <v>189</v>
      </c>
      <c r="AV20" t="s">
        <v>181</v>
      </c>
    </row>
    <row r="21" spans="1:49" x14ac:dyDescent="0.25">
      <c r="A21" t="s">
        <v>289</v>
      </c>
      <c r="B21" t="s">
        <v>290</v>
      </c>
      <c r="C21" t="s">
        <v>291</v>
      </c>
      <c r="D21">
        <v>60</v>
      </c>
      <c r="E21">
        <f t="shared" si="0"/>
        <v>10</v>
      </c>
      <c r="F21" t="s">
        <v>178</v>
      </c>
      <c r="G21" t="s">
        <v>213</v>
      </c>
      <c r="H21" t="s">
        <v>292</v>
      </c>
      <c r="K21" t="s">
        <v>180</v>
      </c>
      <c r="L21" t="s">
        <v>181</v>
      </c>
      <c r="M21" t="s">
        <v>180</v>
      </c>
      <c r="N21" t="s">
        <v>181</v>
      </c>
      <c r="O21" t="s">
        <v>181</v>
      </c>
      <c r="P21" t="s">
        <v>180</v>
      </c>
      <c r="Q21">
        <v>16</v>
      </c>
      <c r="R21" t="s">
        <v>180</v>
      </c>
      <c r="S21" t="s">
        <v>181</v>
      </c>
      <c r="T21" t="s">
        <v>181</v>
      </c>
      <c r="U21" t="s">
        <v>181</v>
      </c>
      <c r="V21" t="s">
        <v>181</v>
      </c>
      <c r="W21" t="s">
        <v>181</v>
      </c>
      <c r="X21" t="s">
        <v>293</v>
      </c>
      <c r="Y21" t="s">
        <v>181</v>
      </c>
      <c r="AA21" t="s">
        <v>181</v>
      </c>
      <c r="AC21" t="s">
        <v>218</v>
      </c>
      <c r="AD21" t="s">
        <v>181</v>
      </c>
      <c r="AE21" t="s">
        <v>186</v>
      </c>
      <c r="AF21" t="s">
        <v>278</v>
      </c>
      <c r="AG21" t="s">
        <v>209</v>
      </c>
      <c r="AH21">
        <v>45</v>
      </c>
      <c r="AI21">
        <v>9</v>
      </c>
      <c r="AJ21">
        <v>3</v>
      </c>
      <c r="AK21">
        <v>3</v>
      </c>
      <c r="AL21">
        <v>3</v>
      </c>
      <c r="AM21">
        <v>4</v>
      </c>
      <c r="AN21">
        <v>7</v>
      </c>
      <c r="AO21">
        <v>2</v>
      </c>
      <c r="AP21">
        <v>3</v>
      </c>
      <c r="AQ21">
        <v>5</v>
      </c>
      <c r="AR21" t="s">
        <v>122</v>
      </c>
      <c r="AS21" t="s">
        <v>122</v>
      </c>
      <c r="AT21" t="s">
        <v>188</v>
      </c>
      <c r="AU21" t="s">
        <v>189</v>
      </c>
      <c r="AV21" t="s">
        <v>181</v>
      </c>
    </row>
    <row r="22" spans="1:49" x14ac:dyDescent="0.25">
      <c r="A22" t="s">
        <v>294</v>
      </c>
      <c r="B22" t="s">
        <v>295</v>
      </c>
      <c r="C22" t="s">
        <v>296</v>
      </c>
      <c r="D22">
        <v>60</v>
      </c>
      <c r="E22">
        <f t="shared" si="0"/>
        <v>10</v>
      </c>
      <c r="F22" t="s">
        <v>178</v>
      </c>
      <c r="G22" t="s">
        <v>213</v>
      </c>
      <c r="H22" t="s">
        <v>297</v>
      </c>
      <c r="K22" t="s">
        <v>181</v>
      </c>
      <c r="L22" t="s">
        <v>181</v>
      </c>
      <c r="M22" t="s">
        <v>181</v>
      </c>
      <c r="N22" t="s">
        <v>181</v>
      </c>
      <c r="O22" t="s">
        <v>180</v>
      </c>
      <c r="P22" t="s">
        <v>181</v>
      </c>
      <c r="Q22">
        <v>0</v>
      </c>
      <c r="R22" t="s">
        <v>181</v>
      </c>
      <c r="S22" t="s">
        <v>181</v>
      </c>
      <c r="T22" t="s">
        <v>180</v>
      </c>
      <c r="U22" t="s">
        <v>181</v>
      </c>
      <c r="V22" t="s">
        <v>181</v>
      </c>
      <c r="W22" t="s">
        <v>181</v>
      </c>
      <c r="X22" t="s">
        <v>272</v>
      </c>
      <c r="Y22" t="s">
        <v>181</v>
      </c>
      <c r="AA22" t="s">
        <v>181</v>
      </c>
      <c r="AC22" t="s">
        <v>218</v>
      </c>
      <c r="AD22" t="s">
        <v>181</v>
      </c>
      <c r="AE22" t="s">
        <v>186</v>
      </c>
      <c r="AF22" t="s">
        <v>278</v>
      </c>
      <c r="AG22" t="s">
        <v>230</v>
      </c>
      <c r="AH22">
        <v>45</v>
      </c>
      <c r="AI22">
        <v>9</v>
      </c>
      <c r="AJ22">
        <v>3</v>
      </c>
      <c r="AK22">
        <v>3</v>
      </c>
      <c r="AL22">
        <v>3</v>
      </c>
      <c r="AM22">
        <v>4</v>
      </c>
      <c r="AN22">
        <v>7</v>
      </c>
      <c r="AO22">
        <v>2</v>
      </c>
      <c r="AP22">
        <v>3</v>
      </c>
      <c r="AQ22">
        <v>5</v>
      </c>
      <c r="AR22" t="s">
        <v>122</v>
      </c>
      <c r="AS22" t="s">
        <v>122</v>
      </c>
      <c r="AT22" t="s">
        <v>188</v>
      </c>
      <c r="AU22" t="s">
        <v>189</v>
      </c>
      <c r="AV22" t="s">
        <v>181</v>
      </c>
    </row>
    <row r="23" spans="1:49" x14ac:dyDescent="0.25">
      <c r="A23" t="s">
        <v>298</v>
      </c>
      <c r="B23" t="s">
        <v>299</v>
      </c>
      <c r="C23" t="s">
        <v>300</v>
      </c>
      <c r="D23">
        <v>90</v>
      </c>
      <c r="E23">
        <f t="shared" si="0"/>
        <v>15</v>
      </c>
      <c r="F23" t="s">
        <v>178</v>
      </c>
      <c r="G23" t="s">
        <v>213</v>
      </c>
      <c r="H23" t="s">
        <v>301</v>
      </c>
      <c r="K23" t="s">
        <v>180</v>
      </c>
      <c r="L23" t="s">
        <v>181</v>
      </c>
      <c r="M23" t="s">
        <v>180</v>
      </c>
      <c r="N23" t="s">
        <v>181</v>
      </c>
      <c r="O23" t="s">
        <v>181</v>
      </c>
      <c r="P23" t="s">
        <v>180</v>
      </c>
      <c r="Q23">
        <v>22</v>
      </c>
      <c r="R23" t="s">
        <v>181</v>
      </c>
      <c r="S23" t="s">
        <v>181</v>
      </c>
      <c r="T23" t="s">
        <v>181</v>
      </c>
      <c r="U23" t="s">
        <v>181</v>
      </c>
      <c r="V23" t="s">
        <v>181</v>
      </c>
      <c r="W23" t="s">
        <v>181</v>
      </c>
      <c r="X23" t="s">
        <v>302</v>
      </c>
      <c r="Y23" t="s">
        <v>181</v>
      </c>
      <c r="AA23" t="s">
        <v>181</v>
      </c>
      <c r="AC23" t="s">
        <v>218</v>
      </c>
      <c r="AD23" t="s">
        <v>181</v>
      </c>
      <c r="AE23" t="s">
        <v>186</v>
      </c>
      <c r="AF23" t="s">
        <v>278</v>
      </c>
      <c r="AG23" t="s">
        <v>209</v>
      </c>
      <c r="AH23">
        <v>75</v>
      </c>
      <c r="AI23">
        <v>9</v>
      </c>
      <c r="AJ23">
        <v>3</v>
      </c>
      <c r="AK23">
        <v>3</v>
      </c>
      <c r="AL23">
        <v>3</v>
      </c>
      <c r="AM23">
        <v>4</v>
      </c>
      <c r="AN23">
        <v>7</v>
      </c>
      <c r="AO23">
        <v>2</v>
      </c>
      <c r="AP23">
        <v>3</v>
      </c>
      <c r="AQ23">
        <v>5</v>
      </c>
      <c r="AR23" t="s">
        <v>122</v>
      </c>
      <c r="AS23" t="s">
        <v>122</v>
      </c>
      <c r="AT23" t="s">
        <v>188</v>
      </c>
      <c r="AU23" t="s">
        <v>189</v>
      </c>
      <c r="AV23" t="s">
        <v>181</v>
      </c>
    </row>
    <row r="24" spans="1:49" x14ac:dyDescent="0.25">
      <c r="A24" t="s">
        <v>303</v>
      </c>
      <c r="B24" t="s">
        <v>304</v>
      </c>
      <c r="C24" t="s">
        <v>305</v>
      </c>
      <c r="D24">
        <v>60</v>
      </c>
      <c r="E24">
        <f t="shared" si="0"/>
        <v>10</v>
      </c>
      <c r="F24" t="s">
        <v>178</v>
      </c>
      <c r="G24" t="s">
        <v>213</v>
      </c>
      <c r="H24" t="s">
        <v>306</v>
      </c>
      <c r="K24" t="s">
        <v>181</v>
      </c>
      <c r="L24" t="s">
        <v>181</v>
      </c>
      <c r="M24" t="s">
        <v>181</v>
      </c>
      <c r="N24" t="s">
        <v>181</v>
      </c>
      <c r="O24" t="s">
        <v>180</v>
      </c>
      <c r="P24" t="s">
        <v>181</v>
      </c>
      <c r="Q24">
        <v>0</v>
      </c>
      <c r="R24" t="s">
        <v>181</v>
      </c>
      <c r="S24" t="s">
        <v>181</v>
      </c>
      <c r="T24" t="s">
        <v>181</v>
      </c>
      <c r="U24" t="s">
        <v>181</v>
      </c>
      <c r="V24" t="s">
        <v>181</v>
      </c>
      <c r="W24" t="s">
        <v>181</v>
      </c>
      <c r="X24" t="s">
        <v>272</v>
      </c>
      <c r="Y24" t="s">
        <v>181</v>
      </c>
      <c r="AA24" t="s">
        <v>181</v>
      </c>
      <c r="AC24" t="s">
        <v>218</v>
      </c>
      <c r="AD24" t="s">
        <v>181</v>
      </c>
      <c r="AE24" t="s">
        <v>186</v>
      </c>
      <c r="AF24" t="s">
        <v>278</v>
      </c>
      <c r="AG24" t="s">
        <v>209</v>
      </c>
      <c r="AH24">
        <v>45</v>
      </c>
      <c r="AI24">
        <v>9</v>
      </c>
      <c r="AJ24">
        <v>3</v>
      </c>
      <c r="AK24">
        <v>3</v>
      </c>
      <c r="AL24">
        <v>3</v>
      </c>
      <c r="AM24">
        <v>4</v>
      </c>
      <c r="AN24">
        <v>7</v>
      </c>
      <c r="AO24">
        <v>2</v>
      </c>
      <c r="AP24">
        <v>3</v>
      </c>
      <c r="AQ24">
        <v>5</v>
      </c>
      <c r="AR24" t="s">
        <v>122</v>
      </c>
      <c r="AS24" t="s">
        <v>122</v>
      </c>
      <c r="AT24" t="s">
        <v>188</v>
      </c>
      <c r="AU24" t="s">
        <v>189</v>
      </c>
      <c r="AV24" t="s">
        <v>181</v>
      </c>
    </row>
    <row r="25" spans="1:49" x14ac:dyDescent="0.25">
      <c r="A25" t="s">
        <v>307</v>
      </c>
      <c r="B25" t="s">
        <v>308</v>
      </c>
      <c r="C25" t="s">
        <v>309</v>
      </c>
      <c r="D25">
        <v>15</v>
      </c>
      <c r="E25">
        <f t="shared" si="0"/>
        <v>2.5</v>
      </c>
      <c r="F25" t="s">
        <v>310</v>
      </c>
      <c r="G25" t="s">
        <v>213</v>
      </c>
      <c r="K25" t="s">
        <v>180</v>
      </c>
      <c r="L25" t="s">
        <v>180</v>
      </c>
      <c r="M25" t="s">
        <v>180</v>
      </c>
      <c r="N25" t="s">
        <v>181</v>
      </c>
      <c r="O25" t="s">
        <v>181</v>
      </c>
      <c r="P25" t="s">
        <v>181</v>
      </c>
      <c r="Q25">
        <v>0</v>
      </c>
      <c r="R25" t="s">
        <v>181</v>
      </c>
      <c r="S25" t="s">
        <v>181</v>
      </c>
      <c r="T25" t="s">
        <v>181</v>
      </c>
      <c r="U25" t="s">
        <v>181</v>
      </c>
      <c r="V25" t="s">
        <v>181</v>
      </c>
      <c r="W25" t="s">
        <v>181</v>
      </c>
      <c r="X25" t="s">
        <v>183</v>
      </c>
      <c r="Y25" t="s">
        <v>181</v>
      </c>
      <c r="AA25" t="s">
        <v>181</v>
      </c>
      <c r="AB25" t="s">
        <v>311</v>
      </c>
      <c r="AC25" t="s">
        <v>185</v>
      </c>
      <c r="AD25" t="s">
        <v>181</v>
      </c>
      <c r="AE25" t="s">
        <v>186</v>
      </c>
      <c r="AF25" t="s">
        <v>278</v>
      </c>
      <c r="AH25">
        <v>15</v>
      </c>
      <c r="AI25">
        <v>0</v>
      </c>
      <c r="AJ25">
        <v>0</v>
      </c>
      <c r="AK25">
        <v>0</v>
      </c>
      <c r="AL25">
        <v>3</v>
      </c>
      <c r="AM25">
        <v>4</v>
      </c>
      <c r="AN25">
        <v>7</v>
      </c>
      <c r="AO25">
        <v>2</v>
      </c>
      <c r="AP25">
        <v>3</v>
      </c>
      <c r="AQ25">
        <v>5</v>
      </c>
      <c r="AR25" t="s">
        <v>122</v>
      </c>
      <c r="AS25" t="s">
        <v>122</v>
      </c>
      <c r="AT25" t="s">
        <v>188</v>
      </c>
      <c r="AU25" t="s">
        <v>189</v>
      </c>
      <c r="AV25" t="s">
        <v>180</v>
      </c>
      <c r="AW25" t="s">
        <v>190</v>
      </c>
    </row>
    <row r="26" spans="1:49" x14ac:dyDescent="0.25">
      <c r="A26" t="s">
        <v>312</v>
      </c>
      <c r="B26" t="s">
        <v>313</v>
      </c>
      <c r="C26" t="s">
        <v>314</v>
      </c>
      <c r="D26">
        <v>105</v>
      </c>
      <c r="E26">
        <f t="shared" si="0"/>
        <v>17.5</v>
      </c>
      <c r="F26" t="s">
        <v>178</v>
      </c>
      <c r="G26" t="s">
        <v>213</v>
      </c>
      <c r="H26" t="s">
        <v>315</v>
      </c>
      <c r="K26" t="s">
        <v>181</v>
      </c>
      <c r="L26" t="s">
        <v>181</v>
      </c>
      <c r="M26" t="s">
        <v>181</v>
      </c>
      <c r="N26" t="s">
        <v>181</v>
      </c>
      <c r="O26" t="s">
        <v>181</v>
      </c>
      <c r="P26" t="s">
        <v>181</v>
      </c>
      <c r="Q26">
        <v>0</v>
      </c>
      <c r="R26" t="s">
        <v>181</v>
      </c>
      <c r="S26" t="s">
        <v>181</v>
      </c>
      <c r="T26" t="s">
        <v>181</v>
      </c>
      <c r="U26" t="s">
        <v>181</v>
      </c>
      <c r="V26" t="s">
        <v>181</v>
      </c>
      <c r="W26" t="s">
        <v>180</v>
      </c>
      <c r="X26" t="s">
        <v>316</v>
      </c>
      <c r="Y26" t="s">
        <v>180</v>
      </c>
      <c r="Z26" t="s">
        <v>190</v>
      </c>
      <c r="AA26" t="s">
        <v>181</v>
      </c>
      <c r="AB26" t="s">
        <v>317</v>
      </c>
      <c r="AC26" t="s">
        <v>229</v>
      </c>
      <c r="AD26" t="s">
        <v>181</v>
      </c>
      <c r="AE26" t="s">
        <v>186</v>
      </c>
      <c r="AF26" t="s">
        <v>278</v>
      </c>
      <c r="AG26" t="s">
        <v>209</v>
      </c>
      <c r="AH26">
        <v>87</v>
      </c>
      <c r="AI26">
        <v>12</v>
      </c>
      <c r="AJ26">
        <v>3</v>
      </c>
      <c r="AK26">
        <v>3</v>
      </c>
      <c r="AL26">
        <v>3</v>
      </c>
      <c r="AM26">
        <v>4</v>
      </c>
      <c r="AN26">
        <v>7</v>
      </c>
      <c r="AO26">
        <v>2</v>
      </c>
      <c r="AP26">
        <v>3</v>
      </c>
      <c r="AQ26">
        <v>5</v>
      </c>
      <c r="AR26" t="s">
        <v>122</v>
      </c>
      <c r="AS26" t="s">
        <v>122</v>
      </c>
      <c r="AT26" t="s">
        <v>188</v>
      </c>
      <c r="AU26" t="s">
        <v>189</v>
      </c>
      <c r="AV26" t="s">
        <v>181</v>
      </c>
    </row>
    <row r="27" spans="1:49" x14ac:dyDescent="0.25">
      <c r="A27" t="s">
        <v>318</v>
      </c>
      <c r="B27" t="s">
        <v>319</v>
      </c>
      <c r="C27" t="s">
        <v>320</v>
      </c>
      <c r="D27">
        <v>45</v>
      </c>
      <c r="E27">
        <f t="shared" si="0"/>
        <v>7.5</v>
      </c>
      <c r="F27" t="s">
        <v>178</v>
      </c>
      <c r="G27" t="s">
        <v>213</v>
      </c>
      <c r="H27" t="s">
        <v>315</v>
      </c>
      <c r="I27" t="s">
        <v>321</v>
      </c>
      <c r="K27" t="s">
        <v>181</v>
      </c>
      <c r="L27" t="s">
        <v>181</v>
      </c>
      <c r="M27" t="s">
        <v>181</v>
      </c>
      <c r="N27" t="s">
        <v>181</v>
      </c>
      <c r="O27" t="s">
        <v>181</v>
      </c>
      <c r="P27" t="s">
        <v>181</v>
      </c>
      <c r="Q27">
        <v>0</v>
      </c>
      <c r="R27" t="s">
        <v>181</v>
      </c>
      <c r="S27" t="s">
        <v>181</v>
      </c>
      <c r="T27" t="s">
        <v>181</v>
      </c>
      <c r="U27" t="s">
        <v>181</v>
      </c>
      <c r="V27" t="s">
        <v>181</v>
      </c>
      <c r="W27" t="s">
        <v>180</v>
      </c>
      <c r="X27" t="s">
        <v>322</v>
      </c>
      <c r="Y27" t="s">
        <v>181</v>
      </c>
      <c r="AA27" t="s">
        <v>181</v>
      </c>
      <c r="AC27" t="s">
        <v>218</v>
      </c>
      <c r="AD27" t="s">
        <v>181</v>
      </c>
      <c r="AE27" t="s">
        <v>186</v>
      </c>
      <c r="AF27" t="s">
        <v>278</v>
      </c>
      <c r="AG27" t="s">
        <v>230</v>
      </c>
      <c r="AH27">
        <v>30</v>
      </c>
      <c r="AI27">
        <v>9</v>
      </c>
      <c r="AJ27">
        <v>3</v>
      </c>
      <c r="AK27">
        <v>3</v>
      </c>
      <c r="AL27">
        <v>3</v>
      </c>
      <c r="AM27">
        <v>4</v>
      </c>
      <c r="AN27">
        <v>7</v>
      </c>
      <c r="AO27">
        <v>2</v>
      </c>
      <c r="AP27">
        <v>3</v>
      </c>
      <c r="AQ27">
        <v>5</v>
      </c>
      <c r="AR27" t="s">
        <v>122</v>
      </c>
      <c r="AS27" t="s">
        <v>122</v>
      </c>
      <c r="AT27" t="s">
        <v>188</v>
      </c>
      <c r="AU27" t="s">
        <v>189</v>
      </c>
      <c r="AV27" t="s">
        <v>181</v>
      </c>
    </row>
    <row r="28" spans="1:49" x14ac:dyDescent="0.25">
      <c r="A28" t="s">
        <v>321</v>
      </c>
      <c r="B28" t="s">
        <v>323</v>
      </c>
      <c r="C28" t="s">
        <v>324</v>
      </c>
      <c r="D28">
        <v>90</v>
      </c>
      <c r="E28">
        <f t="shared" si="0"/>
        <v>15</v>
      </c>
      <c r="F28" t="s">
        <v>178</v>
      </c>
      <c r="G28" t="s">
        <v>213</v>
      </c>
      <c r="H28" t="s">
        <v>315</v>
      </c>
      <c r="K28" t="s">
        <v>181</v>
      </c>
      <c r="L28" t="s">
        <v>181</v>
      </c>
      <c r="M28" t="s">
        <v>181</v>
      </c>
      <c r="N28" t="s">
        <v>181</v>
      </c>
      <c r="O28" t="s">
        <v>181</v>
      </c>
      <c r="P28" t="s">
        <v>180</v>
      </c>
      <c r="Q28">
        <v>16</v>
      </c>
      <c r="R28" t="s">
        <v>181</v>
      </c>
      <c r="S28" t="s">
        <v>181</v>
      </c>
      <c r="T28" t="s">
        <v>181</v>
      </c>
      <c r="U28" t="s">
        <v>181</v>
      </c>
      <c r="V28" t="s">
        <v>181</v>
      </c>
      <c r="W28" t="s">
        <v>180</v>
      </c>
      <c r="X28" t="s">
        <v>325</v>
      </c>
      <c r="Y28" t="s">
        <v>180</v>
      </c>
      <c r="Z28" t="s">
        <v>190</v>
      </c>
      <c r="AA28" t="s">
        <v>181</v>
      </c>
      <c r="AB28" t="s">
        <v>326</v>
      </c>
      <c r="AC28" t="s">
        <v>229</v>
      </c>
      <c r="AD28" t="s">
        <v>181</v>
      </c>
      <c r="AE28" t="s">
        <v>186</v>
      </c>
      <c r="AF28" t="s">
        <v>278</v>
      </c>
      <c r="AG28" t="s">
        <v>209</v>
      </c>
      <c r="AH28">
        <v>72</v>
      </c>
      <c r="AI28">
        <v>12</v>
      </c>
      <c r="AJ28">
        <v>3</v>
      </c>
      <c r="AK28">
        <v>3</v>
      </c>
      <c r="AL28">
        <v>3</v>
      </c>
      <c r="AM28">
        <v>4</v>
      </c>
      <c r="AN28">
        <v>7</v>
      </c>
      <c r="AO28">
        <v>2</v>
      </c>
      <c r="AP28">
        <v>3</v>
      </c>
      <c r="AQ28">
        <v>5</v>
      </c>
      <c r="AR28" t="s">
        <v>122</v>
      </c>
      <c r="AS28" t="s">
        <v>122</v>
      </c>
      <c r="AT28" t="s">
        <v>188</v>
      </c>
      <c r="AU28" t="s">
        <v>189</v>
      </c>
      <c r="AV28" t="s">
        <v>181</v>
      </c>
    </row>
    <row r="29" spans="1:49" x14ac:dyDescent="0.25">
      <c r="A29" t="s">
        <v>327</v>
      </c>
      <c r="B29" t="s">
        <v>328</v>
      </c>
      <c r="C29" t="s">
        <v>329</v>
      </c>
      <c r="D29">
        <v>90</v>
      </c>
      <c r="E29">
        <f t="shared" si="0"/>
        <v>15</v>
      </c>
      <c r="F29" t="s">
        <v>178</v>
      </c>
      <c r="G29" t="s">
        <v>213</v>
      </c>
      <c r="H29" t="s">
        <v>330</v>
      </c>
      <c r="K29" t="s">
        <v>181</v>
      </c>
      <c r="L29" t="s">
        <v>181</v>
      </c>
      <c r="M29" t="s">
        <v>181</v>
      </c>
      <c r="N29" t="s">
        <v>181</v>
      </c>
      <c r="O29" t="s">
        <v>181</v>
      </c>
      <c r="P29" t="s">
        <v>181</v>
      </c>
      <c r="Q29">
        <v>0</v>
      </c>
      <c r="R29" t="s">
        <v>181</v>
      </c>
      <c r="S29" t="s">
        <v>181</v>
      </c>
      <c r="T29" t="s">
        <v>181</v>
      </c>
      <c r="U29" t="s">
        <v>181</v>
      </c>
      <c r="V29" t="s">
        <v>181</v>
      </c>
      <c r="W29" t="s">
        <v>181</v>
      </c>
      <c r="X29" t="s">
        <v>183</v>
      </c>
      <c r="Y29" t="s">
        <v>181</v>
      </c>
      <c r="AA29" t="s">
        <v>181</v>
      </c>
      <c r="AB29" t="s">
        <v>331</v>
      </c>
      <c r="AC29" t="s">
        <v>229</v>
      </c>
      <c r="AD29" t="s">
        <v>181</v>
      </c>
      <c r="AE29" t="s">
        <v>186</v>
      </c>
      <c r="AF29" t="s">
        <v>278</v>
      </c>
      <c r="AH29">
        <v>72</v>
      </c>
      <c r="AI29">
        <v>12</v>
      </c>
      <c r="AJ29">
        <v>3</v>
      </c>
      <c r="AK29">
        <v>3</v>
      </c>
      <c r="AL29">
        <v>3</v>
      </c>
      <c r="AM29">
        <v>4</v>
      </c>
      <c r="AN29">
        <v>7</v>
      </c>
      <c r="AO29">
        <v>2</v>
      </c>
      <c r="AP29">
        <v>3</v>
      </c>
      <c r="AQ29">
        <v>5</v>
      </c>
      <c r="AR29" t="s">
        <v>122</v>
      </c>
      <c r="AS29" t="s">
        <v>122</v>
      </c>
      <c r="AT29" t="s">
        <v>188</v>
      </c>
      <c r="AU29" t="s">
        <v>189</v>
      </c>
      <c r="AV29" t="s">
        <v>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24"/>
  <sheetViews>
    <sheetView workbookViewId="0"/>
  </sheetViews>
  <sheetFormatPr baseColWidth="10" defaultColWidth="9.140625" defaultRowHeight="15" x14ac:dyDescent="0.25"/>
  <cols>
    <col min="1" max="50" width="18" customWidth="1"/>
  </cols>
  <sheetData>
    <row r="1" spans="1:50" ht="30" x14ac:dyDescent="0.25">
      <c r="A1" s="2" t="s">
        <v>126</v>
      </c>
      <c r="B1" s="2" t="s">
        <v>127</v>
      </c>
      <c r="C1" s="2" t="s">
        <v>128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  <c r="K1" s="2" t="s">
        <v>136</v>
      </c>
      <c r="L1" s="2" t="s">
        <v>137</v>
      </c>
      <c r="M1" s="2" t="s">
        <v>138</v>
      </c>
      <c r="N1" s="2" t="s">
        <v>139</v>
      </c>
      <c r="O1" s="2" t="s">
        <v>140</v>
      </c>
      <c r="P1" s="2" t="s">
        <v>141</v>
      </c>
      <c r="Q1" s="2" t="s">
        <v>142</v>
      </c>
      <c r="R1" s="2" t="s">
        <v>143</v>
      </c>
      <c r="S1" s="2" t="s">
        <v>144</v>
      </c>
      <c r="T1" s="2" t="s">
        <v>145</v>
      </c>
      <c r="U1" s="2" t="s">
        <v>146</v>
      </c>
      <c r="V1" s="2" t="s">
        <v>147</v>
      </c>
      <c r="W1" s="2" t="s">
        <v>148</v>
      </c>
      <c r="X1" s="2" t="s">
        <v>149</v>
      </c>
      <c r="Y1" s="2" t="s">
        <v>150</v>
      </c>
      <c r="Z1" s="2" t="s">
        <v>151</v>
      </c>
      <c r="AA1" s="2" t="s">
        <v>152</v>
      </c>
      <c r="AB1" s="2" t="s">
        <v>153</v>
      </c>
      <c r="AC1" s="2" t="s">
        <v>154</v>
      </c>
      <c r="AD1" s="2" t="s">
        <v>155</v>
      </c>
      <c r="AE1" s="2" t="s">
        <v>156</v>
      </c>
      <c r="AF1" s="2" t="s">
        <v>157</v>
      </c>
      <c r="AG1" s="2" t="s">
        <v>158</v>
      </c>
      <c r="AH1" s="2" t="s">
        <v>332</v>
      </c>
      <c r="AI1" s="2" t="s">
        <v>159</v>
      </c>
      <c r="AJ1" s="2" t="s">
        <v>160</v>
      </c>
      <c r="AK1" s="2" t="s">
        <v>161</v>
      </c>
      <c r="AL1" s="2" t="s">
        <v>162</v>
      </c>
      <c r="AM1" s="2" t="s">
        <v>163</v>
      </c>
      <c r="AN1" s="2" t="s">
        <v>164</v>
      </c>
      <c r="AO1" s="2" t="s">
        <v>165</v>
      </c>
      <c r="AP1" s="2" t="s">
        <v>166</v>
      </c>
      <c r="AQ1" s="2" t="s">
        <v>167</v>
      </c>
      <c r="AR1" s="2" t="s">
        <v>168</v>
      </c>
      <c r="AS1" s="2" t="s">
        <v>169</v>
      </c>
      <c r="AT1" s="2" t="s">
        <v>170</v>
      </c>
      <c r="AU1" s="2" t="s">
        <v>171</v>
      </c>
      <c r="AV1" s="2" t="s">
        <v>172</v>
      </c>
      <c r="AW1" s="2" t="s">
        <v>173</v>
      </c>
      <c r="AX1" s="2" t="s">
        <v>174</v>
      </c>
    </row>
    <row r="2" spans="1:50" x14ac:dyDescent="0.25">
      <c r="A2" t="s">
        <v>190</v>
      </c>
      <c r="B2" t="s">
        <v>333</v>
      </c>
      <c r="C2" t="s">
        <v>193</v>
      </c>
      <c r="D2">
        <v>15</v>
      </c>
      <c r="E2">
        <f t="shared" ref="E2:E24" si="0">D2/6</f>
        <v>2.5</v>
      </c>
      <c r="F2" t="s">
        <v>178</v>
      </c>
      <c r="G2" t="s">
        <v>194</v>
      </c>
      <c r="K2" t="s">
        <v>180</v>
      </c>
      <c r="L2" t="s">
        <v>180</v>
      </c>
      <c r="M2" t="s">
        <v>180</v>
      </c>
      <c r="N2" t="s">
        <v>181</v>
      </c>
      <c r="O2" t="s">
        <v>181</v>
      </c>
      <c r="P2" t="s">
        <v>181</v>
      </c>
      <c r="Q2">
        <v>0</v>
      </c>
      <c r="R2" t="s">
        <v>181</v>
      </c>
      <c r="S2" t="s">
        <v>181</v>
      </c>
      <c r="T2" t="s">
        <v>181</v>
      </c>
      <c r="U2" t="s">
        <v>181</v>
      </c>
      <c r="V2" t="s">
        <v>181</v>
      </c>
      <c r="W2" t="s">
        <v>181</v>
      </c>
      <c r="X2" t="s">
        <v>195</v>
      </c>
      <c r="Y2" t="s">
        <v>181</v>
      </c>
      <c r="AA2" t="s">
        <v>181</v>
      </c>
      <c r="AB2" t="s">
        <v>196</v>
      </c>
      <c r="AC2" t="s">
        <v>334</v>
      </c>
      <c r="AD2" t="s">
        <v>181</v>
      </c>
      <c r="AE2" t="s">
        <v>335</v>
      </c>
      <c r="AF2" t="s">
        <v>190</v>
      </c>
      <c r="AH2" t="s">
        <v>191</v>
      </c>
      <c r="AI2">
        <v>15</v>
      </c>
      <c r="AJ2">
        <v>9</v>
      </c>
      <c r="AK2">
        <v>3</v>
      </c>
      <c r="AL2">
        <v>3</v>
      </c>
      <c r="AM2">
        <v>3</v>
      </c>
      <c r="AN2">
        <v>4</v>
      </c>
      <c r="AO2">
        <v>7</v>
      </c>
      <c r="AP2">
        <v>2</v>
      </c>
      <c r="AQ2">
        <v>3</v>
      </c>
      <c r="AR2">
        <v>5</v>
      </c>
      <c r="AS2" t="s">
        <v>122</v>
      </c>
      <c r="AT2" t="s">
        <v>122</v>
      </c>
      <c r="AU2" t="s">
        <v>188</v>
      </c>
      <c r="AV2" t="s">
        <v>189</v>
      </c>
      <c r="AW2" t="s">
        <v>334</v>
      </c>
    </row>
    <row r="3" spans="1:50" x14ac:dyDescent="0.25">
      <c r="A3" t="s">
        <v>227</v>
      </c>
      <c r="B3" t="s">
        <v>336</v>
      </c>
      <c r="C3" t="s">
        <v>337</v>
      </c>
      <c r="D3">
        <v>30</v>
      </c>
      <c r="E3">
        <f t="shared" si="0"/>
        <v>5</v>
      </c>
      <c r="F3" t="s">
        <v>178</v>
      </c>
      <c r="G3" t="s">
        <v>201</v>
      </c>
      <c r="K3" t="s">
        <v>180</v>
      </c>
      <c r="L3" t="s">
        <v>180</v>
      </c>
      <c r="M3" t="s">
        <v>180</v>
      </c>
      <c r="N3" t="s">
        <v>181</v>
      </c>
      <c r="O3" t="s">
        <v>181</v>
      </c>
      <c r="P3" t="s">
        <v>181</v>
      </c>
      <c r="Q3">
        <v>0</v>
      </c>
      <c r="R3" t="s">
        <v>181</v>
      </c>
      <c r="S3" t="s">
        <v>181</v>
      </c>
      <c r="T3" t="s">
        <v>181</v>
      </c>
      <c r="U3" t="s">
        <v>181</v>
      </c>
      <c r="V3" t="s">
        <v>181</v>
      </c>
      <c r="W3" t="s">
        <v>181</v>
      </c>
      <c r="X3" t="s">
        <v>183</v>
      </c>
      <c r="Y3" t="s">
        <v>181</v>
      </c>
      <c r="AA3" t="s">
        <v>181</v>
      </c>
      <c r="AB3" t="s">
        <v>338</v>
      </c>
      <c r="AC3" t="s">
        <v>334</v>
      </c>
      <c r="AD3" t="s">
        <v>181</v>
      </c>
      <c r="AE3" t="s">
        <v>335</v>
      </c>
      <c r="AF3" t="s">
        <v>190</v>
      </c>
      <c r="AH3" t="s">
        <v>198</v>
      </c>
      <c r="AI3">
        <v>30</v>
      </c>
      <c r="AJ3">
        <v>9</v>
      </c>
      <c r="AK3">
        <v>3</v>
      </c>
      <c r="AL3">
        <v>3</v>
      </c>
      <c r="AM3">
        <v>3</v>
      </c>
      <c r="AN3">
        <v>4</v>
      </c>
      <c r="AO3">
        <v>7</v>
      </c>
      <c r="AP3">
        <v>2</v>
      </c>
      <c r="AQ3">
        <v>3</v>
      </c>
      <c r="AR3">
        <v>5</v>
      </c>
      <c r="AS3" t="s">
        <v>122</v>
      </c>
      <c r="AT3" t="s">
        <v>122</v>
      </c>
      <c r="AU3" t="s">
        <v>188</v>
      </c>
      <c r="AV3" t="s">
        <v>189</v>
      </c>
      <c r="AW3" t="s">
        <v>334</v>
      </c>
    </row>
    <row r="4" spans="1:50" x14ac:dyDescent="0.25">
      <c r="A4" t="s">
        <v>278</v>
      </c>
      <c r="B4" t="s">
        <v>339</v>
      </c>
      <c r="C4" t="s">
        <v>340</v>
      </c>
      <c r="D4">
        <v>120</v>
      </c>
      <c r="E4">
        <f t="shared" si="0"/>
        <v>20</v>
      </c>
      <c r="F4" t="s">
        <v>178</v>
      </c>
      <c r="G4" t="s">
        <v>213</v>
      </c>
      <c r="K4" t="s">
        <v>180</v>
      </c>
      <c r="L4" t="s">
        <v>180</v>
      </c>
      <c r="M4" t="s">
        <v>180</v>
      </c>
      <c r="N4" t="s">
        <v>181</v>
      </c>
      <c r="O4" t="s">
        <v>181</v>
      </c>
      <c r="P4" t="s">
        <v>180</v>
      </c>
      <c r="Q4">
        <v>22</v>
      </c>
      <c r="R4" t="s">
        <v>180</v>
      </c>
      <c r="S4" t="s">
        <v>181</v>
      </c>
      <c r="T4" t="s">
        <v>181</v>
      </c>
      <c r="U4" t="s">
        <v>181</v>
      </c>
      <c r="V4" t="s">
        <v>181</v>
      </c>
      <c r="W4" t="s">
        <v>181</v>
      </c>
      <c r="X4" t="s">
        <v>216</v>
      </c>
      <c r="Y4" t="s">
        <v>181</v>
      </c>
      <c r="AA4" t="s">
        <v>180</v>
      </c>
      <c r="AB4" t="s">
        <v>341</v>
      </c>
      <c r="AC4" t="s">
        <v>334</v>
      </c>
      <c r="AD4" t="s">
        <v>181</v>
      </c>
      <c r="AE4" t="s">
        <v>335</v>
      </c>
      <c r="AF4" t="s">
        <v>190</v>
      </c>
      <c r="AG4" t="s">
        <v>209</v>
      </c>
      <c r="AH4" t="s">
        <v>210</v>
      </c>
      <c r="AI4">
        <v>120</v>
      </c>
      <c r="AJ4">
        <v>9</v>
      </c>
      <c r="AK4">
        <v>3</v>
      </c>
      <c r="AL4">
        <v>3</v>
      </c>
      <c r="AM4">
        <v>3</v>
      </c>
      <c r="AN4">
        <v>4</v>
      </c>
      <c r="AO4">
        <v>7</v>
      </c>
      <c r="AP4">
        <v>2</v>
      </c>
      <c r="AQ4">
        <v>3</v>
      </c>
      <c r="AR4">
        <v>5</v>
      </c>
      <c r="AS4" t="s">
        <v>122</v>
      </c>
      <c r="AT4" t="s">
        <v>122</v>
      </c>
      <c r="AU4" t="s">
        <v>188</v>
      </c>
      <c r="AV4" t="s">
        <v>189</v>
      </c>
      <c r="AW4" t="s">
        <v>334</v>
      </c>
    </row>
    <row r="5" spans="1:50" x14ac:dyDescent="0.25">
      <c r="A5" t="s">
        <v>342</v>
      </c>
      <c r="B5" t="s">
        <v>343</v>
      </c>
      <c r="C5" t="s">
        <v>344</v>
      </c>
      <c r="D5">
        <v>45</v>
      </c>
      <c r="E5">
        <f t="shared" si="0"/>
        <v>7.5</v>
      </c>
      <c r="F5" t="s">
        <v>178</v>
      </c>
      <c r="G5" t="s">
        <v>222</v>
      </c>
      <c r="K5" t="s">
        <v>180</v>
      </c>
      <c r="L5" t="s">
        <v>180</v>
      </c>
      <c r="M5" t="s">
        <v>180</v>
      </c>
      <c r="N5" t="s">
        <v>181</v>
      </c>
      <c r="O5" t="s">
        <v>181</v>
      </c>
      <c r="P5" t="s">
        <v>181</v>
      </c>
      <c r="Q5">
        <v>0</v>
      </c>
      <c r="R5" t="s">
        <v>181</v>
      </c>
      <c r="S5" t="s">
        <v>181</v>
      </c>
      <c r="T5" t="s">
        <v>181</v>
      </c>
      <c r="U5" t="s">
        <v>181</v>
      </c>
      <c r="V5" t="s">
        <v>181</v>
      </c>
      <c r="W5" t="s">
        <v>181</v>
      </c>
      <c r="X5" t="s">
        <v>183</v>
      </c>
      <c r="Y5" t="s">
        <v>181</v>
      </c>
      <c r="AA5" t="s">
        <v>181</v>
      </c>
      <c r="AC5" t="s">
        <v>334</v>
      </c>
      <c r="AD5" t="s">
        <v>181</v>
      </c>
      <c r="AE5" t="s">
        <v>335</v>
      </c>
      <c r="AF5" t="s">
        <v>190</v>
      </c>
      <c r="AH5" t="s">
        <v>219</v>
      </c>
      <c r="AI5">
        <v>45</v>
      </c>
      <c r="AJ5">
        <v>9</v>
      </c>
      <c r="AK5">
        <v>3</v>
      </c>
      <c r="AL5">
        <v>3</v>
      </c>
      <c r="AM5">
        <v>3</v>
      </c>
      <c r="AN5">
        <v>4</v>
      </c>
      <c r="AO5">
        <v>7</v>
      </c>
      <c r="AP5">
        <v>2</v>
      </c>
      <c r="AQ5">
        <v>3</v>
      </c>
      <c r="AR5">
        <v>5</v>
      </c>
      <c r="AS5" t="s">
        <v>122</v>
      </c>
      <c r="AT5" t="s">
        <v>122</v>
      </c>
      <c r="AU5" t="s">
        <v>188</v>
      </c>
      <c r="AV5" t="s">
        <v>189</v>
      </c>
      <c r="AW5" t="s">
        <v>334</v>
      </c>
    </row>
    <row r="6" spans="1:50" x14ac:dyDescent="0.25">
      <c r="A6" t="s">
        <v>345</v>
      </c>
      <c r="B6" t="s">
        <v>346</v>
      </c>
      <c r="C6" t="s">
        <v>347</v>
      </c>
      <c r="D6">
        <v>105</v>
      </c>
      <c r="E6">
        <f t="shared" si="0"/>
        <v>17.5</v>
      </c>
      <c r="F6" t="s">
        <v>178</v>
      </c>
      <c r="G6" t="s">
        <v>213</v>
      </c>
      <c r="H6" t="s">
        <v>334</v>
      </c>
      <c r="K6" t="s">
        <v>180</v>
      </c>
      <c r="L6" t="s">
        <v>181</v>
      </c>
      <c r="M6" t="s">
        <v>180</v>
      </c>
      <c r="N6" t="s">
        <v>180</v>
      </c>
      <c r="O6" t="s">
        <v>180</v>
      </c>
      <c r="P6" t="s">
        <v>181</v>
      </c>
      <c r="Q6">
        <v>0</v>
      </c>
      <c r="R6" t="s">
        <v>181</v>
      </c>
      <c r="S6" t="s">
        <v>181</v>
      </c>
      <c r="T6" t="s">
        <v>181</v>
      </c>
      <c r="U6" t="s">
        <v>180</v>
      </c>
      <c r="V6" t="s">
        <v>181</v>
      </c>
      <c r="W6" t="s">
        <v>181</v>
      </c>
      <c r="X6" t="s">
        <v>226</v>
      </c>
      <c r="Y6" t="s">
        <v>181</v>
      </c>
      <c r="Z6" t="s">
        <v>227</v>
      </c>
      <c r="AA6" t="s">
        <v>181</v>
      </c>
      <c r="AB6" t="s">
        <v>228</v>
      </c>
      <c r="AC6" t="s">
        <v>334</v>
      </c>
      <c r="AD6" t="s">
        <v>181</v>
      </c>
      <c r="AE6" t="s">
        <v>335</v>
      </c>
      <c r="AF6" t="s">
        <v>227</v>
      </c>
      <c r="AG6" t="s">
        <v>230</v>
      </c>
      <c r="AH6" t="s">
        <v>223</v>
      </c>
      <c r="AI6">
        <v>105</v>
      </c>
      <c r="AJ6">
        <v>9</v>
      </c>
      <c r="AK6">
        <v>3</v>
      </c>
      <c r="AL6">
        <v>3</v>
      </c>
      <c r="AM6">
        <v>3</v>
      </c>
      <c r="AN6">
        <v>4</v>
      </c>
      <c r="AO6">
        <v>7</v>
      </c>
      <c r="AP6">
        <v>2</v>
      </c>
      <c r="AQ6">
        <v>3</v>
      </c>
      <c r="AR6">
        <v>5</v>
      </c>
      <c r="AS6" t="s">
        <v>122</v>
      </c>
      <c r="AT6" t="s">
        <v>122</v>
      </c>
      <c r="AU6" t="s">
        <v>188</v>
      </c>
      <c r="AV6" t="s">
        <v>189</v>
      </c>
      <c r="AW6" t="s">
        <v>334</v>
      </c>
    </row>
    <row r="7" spans="1:50" x14ac:dyDescent="0.25">
      <c r="A7" t="s">
        <v>348</v>
      </c>
      <c r="B7" t="s">
        <v>349</v>
      </c>
      <c r="C7" t="s">
        <v>350</v>
      </c>
      <c r="D7">
        <v>75</v>
      </c>
      <c r="E7">
        <f t="shared" si="0"/>
        <v>12.5</v>
      </c>
      <c r="F7" t="s">
        <v>178</v>
      </c>
      <c r="G7" t="s">
        <v>213</v>
      </c>
      <c r="H7" t="s">
        <v>334</v>
      </c>
      <c r="K7" t="s">
        <v>180</v>
      </c>
      <c r="L7" t="s">
        <v>181</v>
      </c>
      <c r="M7" t="s">
        <v>180</v>
      </c>
      <c r="N7" t="s">
        <v>181</v>
      </c>
      <c r="O7" t="s">
        <v>181</v>
      </c>
      <c r="P7" t="s">
        <v>181</v>
      </c>
      <c r="Q7">
        <v>0</v>
      </c>
      <c r="R7" t="s">
        <v>181</v>
      </c>
      <c r="S7" t="s">
        <v>181</v>
      </c>
      <c r="T7" t="s">
        <v>181</v>
      </c>
      <c r="U7" t="s">
        <v>181</v>
      </c>
      <c r="V7" t="s">
        <v>180</v>
      </c>
      <c r="W7" t="s">
        <v>181</v>
      </c>
      <c r="X7" t="s">
        <v>237</v>
      </c>
      <c r="Y7" t="s">
        <v>181</v>
      </c>
      <c r="AA7" t="s">
        <v>181</v>
      </c>
      <c r="AC7" t="s">
        <v>334</v>
      </c>
      <c r="AD7" t="s">
        <v>181</v>
      </c>
      <c r="AE7" t="s">
        <v>335</v>
      </c>
      <c r="AF7" t="s">
        <v>227</v>
      </c>
      <c r="AG7" t="s">
        <v>230</v>
      </c>
      <c r="AH7" t="s">
        <v>234</v>
      </c>
      <c r="AI7">
        <v>75</v>
      </c>
      <c r="AJ7">
        <v>9</v>
      </c>
      <c r="AK7">
        <v>3</v>
      </c>
      <c r="AL7">
        <v>3</v>
      </c>
      <c r="AM7">
        <v>3</v>
      </c>
      <c r="AN7">
        <v>4</v>
      </c>
      <c r="AO7">
        <v>7</v>
      </c>
      <c r="AP7">
        <v>2</v>
      </c>
      <c r="AQ7">
        <v>3</v>
      </c>
      <c r="AR7">
        <v>5</v>
      </c>
      <c r="AS7" t="s">
        <v>122</v>
      </c>
      <c r="AT7" t="s">
        <v>122</v>
      </c>
      <c r="AU7" t="s">
        <v>188</v>
      </c>
      <c r="AV7" t="s">
        <v>189</v>
      </c>
      <c r="AW7" t="s">
        <v>334</v>
      </c>
    </row>
    <row r="8" spans="1:50" x14ac:dyDescent="0.25">
      <c r="A8" t="s">
        <v>351</v>
      </c>
      <c r="B8" t="s">
        <v>352</v>
      </c>
      <c r="C8" t="s">
        <v>353</v>
      </c>
      <c r="D8">
        <v>30</v>
      </c>
      <c r="E8">
        <f t="shared" si="0"/>
        <v>5</v>
      </c>
      <c r="F8" t="s">
        <v>178</v>
      </c>
      <c r="G8" t="s">
        <v>213</v>
      </c>
      <c r="H8" t="s">
        <v>334</v>
      </c>
      <c r="K8" t="s">
        <v>180</v>
      </c>
      <c r="L8" t="s">
        <v>181</v>
      </c>
      <c r="M8" t="s">
        <v>180</v>
      </c>
      <c r="N8" t="s">
        <v>180</v>
      </c>
      <c r="O8" t="s">
        <v>180</v>
      </c>
      <c r="P8" t="s">
        <v>181</v>
      </c>
      <c r="Q8">
        <v>0</v>
      </c>
      <c r="R8" t="s">
        <v>181</v>
      </c>
      <c r="S8" t="s">
        <v>181</v>
      </c>
      <c r="T8" t="s">
        <v>181</v>
      </c>
      <c r="U8" t="s">
        <v>180</v>
      </c>
      <c r="V8" t="s">
        <v>181</v>
      </c>
      <c r="W8" t="s">
        <v>181</v>
      </c>
      <c r="X8" t="s">
        <v>226</v>
      </c>
      <c r="Y8" t="s">
        <v>181</v>
      </c>
      <c r="Z8" t="s">
        <v>227</v>
      </c>
      <c r="AA8" t="s">
        <v>181</v>
      </c>
      <c r="AB8" t="s">
        <v>228</v>
      </c>
      <c r="AC8" t="s">
        <v>334</v>
      </c>
      <c r="AD8" t="s">
        <v>181</v>
      </c>
      <c r="AE8" t="s">
        <v>335</v>
      </c>
      <c r="AF8" t="s">
        <v>190</v>
      </c>
      <c r="AG8" t="s">
        <v>230</v>
      </c>
      <c r="AH8" t="s">
        <v>231</v>
      </c>
      <c r="AI8">
        <v>30</v>
      </c>
      <c r="AJ8">
        <v>9</v>
      </c>
      <c r="AK8">
        <v>3</v>
      </c>
      <c r="AL8">
        <v>3</v>
      </c>
      <c r="AM8">
        <v>3</v>
      </c>
      <c r="AN8">
        <v>4</v>
      </c>
      <c r="AO8">
        <v>7</v>
      </c>
      <c r="AP8">
        <v>2</v>
      </c>
      <c r="AQ8">
        <v>3</v>
      </c>
      <c r="AR8">
        <v>5</v>
      </c>
      <c r="AS8" t="s">
        <v>122</v>
      </c>
      <c r="AT8" t="s">
        <v>122</v>
      </c>
      <c r="AU8" t="s">
        <v>188</v>
      </c>
      <c r="AV8" t="s">
        <v>189</v>
      </c>
      <c r="AW8" t="s">
        <v>334</v>
      </c>
    </row>
    <row r="9" spans="1:50" x14ac:dyDescent="0.25">
      <c r="A9" t="s">
        <v>354</v>
      </c>
      <c r="B9" t="s">
        <v>355</v>
      </c>
      <c r="C9" t="s">
        <v>356</v>
      </c>
      <c r="D9">
        <v>60</v>
      </c>
      <c r="E9">
        <f t="shared" si="0"/>
        <v>10</v>
      </c>
      <c r="F9" t="s">
        <v>178</v>
      </c>
      <c r="G9" t="s">
        <v>213</v>
      </c>
      <c r="H9" t="s">
        <v>334</v>
      </c>
      <c r="K9" t="s">
        <v>180</v>
      </c>
      <c r="L9" t="s">
        <v>181</v>
      </c>
      <c r="M9" t="s">
        <v>180</v>
      </c>
      <c r="N9" t="s">
        <v>180</v>
      </c>
      <c r="O9" t="s">
        <v>180</v>
      </c>
      <c r="P9" t="s">
        <v>181</v>
      </c>
      <c r="Q9">
        <v>0</v>
      </c>
      <c r="R9" t="s">
        <v>181</v>
      </c>
      <c r="S9" t="s">
        <v>181</v>
      </c>
      <c r="T9" t="s">
        <v>181</v>
      </c>
      <c r="U9" t="s">
        <v>180</v>
      </c>
      <c r="V9" t="s">
        <v>181</v>
      </c>
      <c r="W9" t="s">
        <v>181</v>
      </c>
      <c r="X9" t="s">
        <v>226</v>
      </c>
      <c r="Y9" t="s">
        <v>181</v>
      </c>
      <c r="Z9" t="s">
        <v>227</v>
      </c>
      <c r="AA9" t="s">
        <v>181</v>
      </c>
      <c r="AB9" t="s">
        <v>228</v>
      </c>
      <c r="AC9" t="s">
        <v>334</v>
      </c>
      <c r="AD9" t="s">
        <v>181</v>
      </c>
      <c r="AE9" t="s">
        <v>335</v>
      </c>
      <c r="AF9" t="s">
        <v>190</v>
      </c>
      <c r="AG9" t="s">
        <v>230</v>
      </c>
      <c r="AH9" t="s">
        <v>239</v>
      </c>
      <c r="AI9">
        <v>60</v>
      </c>
      <c r="AJ9">
        <v>9</v>
      </c>
      <c r="AK9">
        <v>3</v>
      </c>
      <c r="AL9">
        <v>3</v>
      </c>
      <c r="AM9">
        <v>3</v>
      </c>
      <c r="AN9">
        <v>4</v>
      </c>
      <c r="AO9">
        <v>7</v>
      </c>
      <c r="AP9">
        <v>2</v>
      </c>
      <c r="AQ9">
        <v>3</v>
      </c>
      <c r="AR9">
        <v>5</v>
      </c>
      <c r="AS9" t="s">
        <v>122</v>
      </c>
      <c r="AT9" t="s">
        <v>122</v>
      </c>
      <c r="AU9" t="s">
        <v>188</v>
      </c>
      <c r="AV9" t="s">
        <v>189</v>
      </c>
      <c r="AW9" t="s">
        <v>334</v>
      </c>
    </row>
    <row r="10" spans="1:50" x14ac:dyDescent="0.25">
      <c r="A10" t="s">
        <v>357</v>
      </c>
      <c r="B10" t="s">
        <v>358</v>
      </c>
      <c r="C10" t="s">
        <v>359</v>
      </c>
      <c r="D10">
        <v>90</v>
      </c>
      <c r="E10">
        <f t="shared" si="0"/>
        <v>15</v>
      </c>
      <c r="F10" t="s">
        <v>178</v>
      </c>
      <c r="G10" t="s">
        <v>213</v>
      </c>
      <c r="H10" t="s">
        <v>334</v>
      </c>
      <c r="K10" t="s">
        <v>181</v>
      </c>
      <c r="L10" t="s">
        <v>181</v>
      </c>
      <c r="M10" t="s">
        <v>181</v>
      </c>
      <c r="N10" t="s">
        <v>180</v>
      </c>
      <c r="O10" t="s">
        <v>180</v>
      </c>
      <c r="P10" t="s">
        <v>181</v>
      </c>
      <c r="Q10">
        <v>0</v>
      </c>
      <c r="R10" t="s">
        <v>181</v>
      </c>
      <c r="S10" t="s">
        <v>181</v>
      </c>
      <c r="T10" t="s">
        <v>181</v>
      </c>
      <c r="U10" t="s">
        <v>180</v>
      </c>
      <c r="V10" t="s">
        <v>181</v>
      </c>
      <c r="W10" t="s">
        <v>181</v>
      </c>
      <c r="X10" t="s">
        <v>226</v>
      </c>
      <c r="Y10" t="s">
        <v>180</v>
      </c>
      <c r="Z10" t="s">
        <v>227</v>
      </c>
      <c r="AA10" t="s">
        <v>181</v>
      </c>
      <c r="AB10" t="s">
        <v>360</v>
      </c>
      <c r="AC10" t="s">
        <v>334</v>
      </c>
      <c r="AD10" t="s">
        <v>181</v>
      </c>
      <c r="AE10" t="s">
        <v>335</v>
      </c>
      <c r="AF10" t="s">
        <v>227</v>
      </c>
      <c r="AG10" t="s">
        <v>230</v>
      </c>
      <c r="AH10" t="s">
        <v>247</v>
      </c>
      <c r="AI10">
        <v>90</v>
      </c>
      <c r="AJ10">
        <v>9</v>
      </c>
      <c r="AK10">
        <v>3</v>
      </c>
      <c r="AL10">
        <v>3</v>
      </c>
      <c r="AM10">
        <v>3</v>
      </c>
      <c r="AN10">
        <v>4</v>
      </c>
      <c r="AO10">
        <v>7</v>
      </c>
      <c r="AP10">
        <v>2</v>
      </c>
      <c r="AQ10">
        <v>3</v>
      </c>
      <c r="AR10">
        <v>5</v>
      </c>
      <c r="AS10" t="s">
        <v>122</v>
      </c>
      <c r="AT10" t="s">
        <v>122</v>
      </c>
      <c r="AU10" t="s">
        <v>188</v>
      </c>
      <c r="AV10" t="s">
        <v>189</v>
      </c>
      <c r="AW10" t="s">
        <v>334</v>
      </c>
    </row>
    <row r="11" spans="1:50" x14ac:dyDescent="0.25">
      <c r="A11" t="s">
        <v>361</v>
      </c>
      <c r="B11" t="s">
        <v>362</v>
      </c>
      <c r="C11" t="s">
        <v>363</v>
      </c>
      <c r="D11">
        <v>75</v>
      </c>
      <c r="E11">
        <f t="shared" si="0"/>
        <v>12.5</v>
      </c>
      <c r="F11" t="s">
        <v>178</v>
      </c>
      <c r="G11" t="s">
        <v>213</v>
      </c>
      <c r="H11" t="s">
        <v>334</v>
      </c>
      <c r="K11" t="s">
        <v>180</v>
      </c>
      <c r="L11" t="s">
        <v>180</v>
      </c>
      <c r="M11" t="s">
        <v>180</v>
      </c>
      <c r="N11" t="s">
        <v>181</v>
      </c>
      <c r="O11" t="s">
        <v>181</v>
      </c>
      <c r="P11" t="s">
        <v>180</v>
      </c>
      <c r="Q11">
        <v>22</v>
      </c>
      <c r="R11" t="s">
        <v>180</v>
      </c>
      <c r="S11" t="s">
        <v>181</v>
      </c>
      <c r="T11" t="s">
        <v>181</v>
      </c>
      <c r="U11" t="s">
        <v>181</v>
      </c>
      <c r="V11" t="s">
        <v>181</v>
      </c>
      <c r="W11" t="s">
        <v>181</v>
      </c>
      <c r="X11" t="s">
        <v>216</v>
      </c>
      <c r="Y11" t="s">
        <v>181</v>
      </c>
      <c r="AA11" t="s">
        <v>180</v>
      </c>
      <c r="AC11" t="s">
        <v>334</v>
      </c>
      <c r="AD11" t="s">
        <v>181</v>
      </c>
      <c r="AE11" t="s">
        <v>335</v>
      </c>
      <c r="AF11" t="s">
        <v>227</v>
      </c>
      <c r="AG11" t="s">
        <v>209</v>
      </c>
      <c r="AH11" t="s">
        <v>214</v>
      </c>
      <c r="AI11">
        <v>75</v>
      </c>
      <c r="AJ11">
        <v>9</v>
      </c>
      <c r="AK11">
        <v>3</v>
      </c>
      <c r="AL11">
        <v>3</v>
      </c>
      <c r="AM11">
        <v>3</v>
      </c>
      <c r="AN11">
        <v>4</v>
      </c>
      <c r="AO11">
        <v>7</v>
      </c>
      <c r="AP11">
        <v>2</v>
      </c>
      <c r="AQ11">
        <v>3</v>
      </c>
      <c r="AR11">
        <v>5</v>
      </c>
      <c r="AS11" t="s">
        <v>122</v>
      </c>
      <c r="AT11" t="s">
        <v>122</v>
      </c>
      <c r="AU11" t="s">
        <v>188</v>
      </c>
      <c r="AV11" t="s">
        <v>189</v>
      </c>
      <c r="AW11" t="s">
        <v>334</v>
      </c>
    </row>
    <row r="12" spans="1:50" x14ac:dyDescent="0.25">
      <c r="A12" t="s">
        <v>364</v>
      </c>
      <c r="B12" t="s">
        <v>365</v>
      </c>
      <c r="C12" t="s">
        <v>366</v>
      </c>
      <c r="D12">
        <v>90</v>
      </c>
      <c r="E12">
        <f t="shared" si="0"/>
        <v>15</v>
      </c>
      <c r="F12" t="s">
        <v>178</v>
      </c>
      <c r="G12" t="s">
        <v>213</v>
      </c>
      <c r="H12" t="s">
        <v>334</v>
      </c>
      <c r="K12" t="s">
        <v>180</v>
      </c>
      <c r="L12" t="s">
        <v>181</v>
      </c>
      <c r="M12" t="s">
        <v>180</v>
      </c>
      <c r="N12" t="s">
        <v>181</v>
      </c>
      <c r="O12" t="s">
        <v>181</v>
      </c>
      <c r="P12" t="s">
        <v>180</v>
      </c>
      <c r="Q12">
        <v>22</v>
      </c>
      <c r="R12" t="s">
        <v>180</v>
      </c>
      <c r="S12" t="s">
        <v>181</v>
      </c>
      <c r="T12" t="s">
        <v>181</v>
      </c>
      <c r="U12" t="s">
        <v>181</v>
      </c>
      <c r="V12" t="s">
        <v>181</v>
      </c>
      <c r="W12" t="s">
        <v>181</v>
      </c>
      <c r="X12" t="s">
        <v>256</v>
      </c>
      <c r="Y12" t="s">
        <v>181</v>
      </c>
      <c r="AA12" t="s">
        <v>181</v>
      </c>
      <c r="AC12" t="s">
        <v>334</v>
      </c>
      <c r="AD12" t="s">
        <v>181</v>
      </c>
      <c r="AE12" t="s">
        <v>335</v>
      </c>
      <c r="AF12" t="s">
        <v>227</v>
      </c>
      <c r="AG12" t="s">
        <v>209</v>
      </c>
      <c r="AH12" t="s">
        <v>252</v>
      </c>
      <c r="AI12">
        <v>90</v>
      </c>
      <c r="AJ12">
        <v>9</v>
      </c>
      <c r="AK12">
        <v>3</v>
      </c>
      <c r="AL12">
        <v>3</v>
      </c>
      <c r="AM12">
        <v>3</v>
      </c>
      <c r="AN12">
        <v>4</v>
      </c>
      <c r="AO12">
        <v>7</v>
      </c>
      <c r="AP12">
        <v>2</v>
      </c>
      <c r="AQ12">
        <v>3</v>
      </c>
      <c r="AR12">
        <v>5</v>
      </c>
      <c r="AS12" t="s">
        <v>122</v>
      </c>
      <c r="AT12" t="s">
        <v>122</v>
      </c>
      <c r="AU12" t="s">
        <v>188</v>
      </c>
      <c r="AV12" t="s">
        <v>189</v>
      </c>
      <c r="AW12" t="s">
        <v>334</v>
      </c>
    </row>
    <row r="13" spans="1:50" x14ac:dyDescent="0.25">
      <c r="A13" t="s">
        <v>367</v>
      </c>
      <c r="B13" t="s">
        <v>368</v>
      </c>
      <c r="C13" t="s">
        <v>369</v>
      </c>
      <c r="D13">
        <v>90</v>
      </c>
      <c r="E13">
        <f t="shared" si="0"/>
        <v>15</v>
      </c>
      <c r="F13" t="s">
        <v>178</v>
      </c>
      <c r="G13" t="s">
        <v>213</v>
      </c>
      <c r="H13" t="s">
        <v>334</v>
      </c>
      <c r="K13" t="s">
        <v>181</v>
      </c>
      <c r="L13" t="s">
        <v>181</v>
      </c>
      <c r="M13" t="s">
        <v>181</v>
      </c>
      <c r="N13" t="s">
        <v>181</v>
      </c>
      <c r="O13" t="s">
        <v>180</v>
      </c>
      <c r="P13" t="s">
        <v>181</v>
      </c>
      <c r="Q13">
        <v>0</v>
      </c>
      <c r="R13" t="s">
        <v>181</v>
      </c>
      <c r="S13" t="s">
        <v>181</v>
      </c>
      <c r="T13" t="s">
        <v>181</v>
      </c>
      <c r="U13" t="s">
        <v>181</v>
      </c>
      <c r="V13" t="s">
        <v>181</v>
      </c>
      <c r="W13" t="s">
        <v>180</v>
      </c>
      <c r="X13" t="s">
        <v>266</v>
      </c>
      <c r="Y13" t="s">
        <v>181</v>
      </c>
      <c r="Z13" t="s">
        <v>227</v>
      </c>
      <c r="AA13" t="s">
        <v>181</v>
      </c>
      <c r="AC13" t="s">
        <v>334</v>
      </c>
      <c r="AD13" t="s">
        <v>181</v>
      </c>
      <c r="AE13" t="s">
        <v>335</v>
      </c>
      <c r="AF13" t="s">
        <v>227</v>
      </c>
      <c r="AG13" t="s">
        <v>230</v>
      </c>
      <c r="AH13" t="s">
        <v>262</v>
      </c>
      <c r="AI13">
        <v>90</v>
      </c>
      <c r="AJ13">
        <v>9</v>
      </c>
      <c r="AK13">
        <v>3</v>
      </c>
      <c r="AL13">
        <v>3</v>
      </c>
      <c r="AM13">
        <v>3</v>
      </c>
      <c r="AN13">
        <v>4</v>
      </c>
      <c r="AO13">
        <v>7</v>
      </c>
      <c r="AP13">
        <v>2</v>
      </c>
      <c r="AQ13">
        <v>3</v>
      </c>
      <c r="AR13">
        <v>5</v>
      </c>
      <c r="AS13" t="s">
        <v>122</v>
      </c>
      <c r="AT13" t="s">
        <v>122</v>
      </c>
      <c r="AU13" t="s">
        <v>188</v>
      </c>
      <c r="AV13" t="s">
        <v>189</v>
      </c>
      <c r="AW13" t="s">
        <v>334</v>
      </c>
    </row>
    <row r="14" spans="1:50" x14ac:dyDescent="0.25">
      <c r="A14" t="s">
        <v>370</v>
      </c>
      <c r="B14" t="s">
        <v>371</v>
      </c>
      <c r="C14" t="s">
        <v>372</v>
      </c>
      <c r="D14">
        <v>105</v>
      </c>
      <c r="E14">
        <f t="shared" si="0"/>
        <v>17.5</v>
      </c>
      <c r="F14" t="s">
        <v>178</v>
      </c>
      <c r="G14" t="s">
        <v>213</v>
      </c>
      <c r="H14" t="s">
        <v>334</v>
      </c>
      <c r="K14" t="s">
        <v>180</v>
      </c>
      <c r="L14" t="s">
        <v>181</v>
      </c>
      <c r="M14" t="s">
        <v>180</v>
      </c>
      <c r="N14" t="s">
        <v>181</v>
      </c>
      <c r="O14" t="s">
        <v>180</v>
      </c>
      <c r="P14" t="s">
        <v>181</v>
      </c>
      <c r="Q14">
        <v>0</v>
      </c>
      <c r="R14" t="s">
        <v>181</v>
      </c>
      <c r="S14" t="s">
        <v>181</v>
      </c>
      <c r="T14" t="s">
        <v>180</v>
      </c>
      <c r="U14" t="s">
        <v>181</v>
      </c>
      <c r="V14" t="s">
        <v>181</v>
      </c>
      <c r="W14" t="s">
        <v>181</v>
      </c>
      <c r="X14" t="s">
        <v>272</v>
      </c>
      <c r="Y14" t="s">
        <v>181</v>
      </c>
      <c r="AA14" t="s">
        <v>181</v>
      </c>
      <c r="AB14" t="s">
        <v>373</v>
      </c>
      <c r="AC14" t="s">
        <v>334</v>
      </c>
      <c r="AD14" t="s">
        <v>181</v>
      </c>
      <c r="AE14" t="s">
        <v>335</v>
      </c>
      <c r="AF14" t="s">
        <v>227</v>
      </c>
      <c r="AG14" t="s">
        <v>230</v>
      </c>
      <c r="AH14" t="s">
        <v>374</v>
      </c>
      <c r="AI14">
        <v>105</v>
      </c>
      <c r="AJ14">
        <v>9</v>
      </c>
      <c r="AK14">
        <v>3</v>
      </c>
      <c r="AL14">
        <v>3</v>
      </c>
      <c r="AM14">
        <v>3</v>
      </c>
      <c r="AN14">
        <v>4</v>
      </c>
      <c r="AO14">
        <v>7</v>
      </c>
      <c r="AP14">
        <v>2</v>
      </c>
      <c r="AQ14">
        <v>3</v>
      </c>
      <c r="AR14">
        <v>5</v>
      </c>
      <c r="AS14" t="s">
        <v>122</v>
      </c>
      <c r="AT14" t="s">
        <v>122</v>
      </c>
      <c r="AU14" t="s">
        <v>188</v>
      </c>
      <c r="AV14" t="s">
        <v>189</v>
      </c>
      <c r="AW14" t="s">
        <v>334</v>
      </c>
    </row>
    <row r="15" spans="1:50" x14ac:dyDescent="0.25">
      <c r="A15" t="s">
        <v>375</v>
      </c>
      <c r="B15" t="s">
        <v>376</v>
      </c>
      <c r="C15" t="s">
        <v>377</v>
      </c>
      <c r="D15">
        <v>105</v>
      </c>
      <c r="E15">
        <f t="shared" si="0"/>
        <v>17.5</v>
      </c>
      <c r="F15" t="s">
        <v>178</v>
      </c>
      <c r="G15" t="s">
        <v>213</v>
      </c>
      <c r="H15" t="s">
        <v>334</v>
      </c>
      <c r="K15" t="s">
        <v>181</v>
      </c>
      <c r="L15" t="s">
        <v>181</v>
      </c>
      <c r="M15" t="s">
        <v>181</v>
      </c>
      <c r="N15" t="s">
        <v>181</v>
      </c>
      <c r="O15" t="s">
        <v>180</v>
      </c>
      <c r="P15" t="s">
        <v>181</v>
      </c>
      <c r="Q15">
        <v>0</v>
      </c>
      <c r="R15" t="s">
        <v>181</v>
      </c>
      <c r="S15" t="s">
        <v>181</v>
      </c>
      <c r="T15" t="s">
        <v>181</v>
      </c>
      <c r="U15" t="s">
        <v>181</v>
      </c>
      <c r="V15" t="s">
        <v>181</v>
      </c>
      <c r="W15" t="s">
        <v>181</v>
      </c>
      <c r="X15" t="s">
        <v>272</v>
      </c>
      <c r="Y15" t="s">
        <v>181</v>
      </c>
      <c r="AA15" t="s">
        <v>180</v>
      </c>
      <c r="AB15" t="s">
        <v>378</v>
      </c>
      <c r="AC15" t="s">
        <v>334</v>
      </c>
      <c r="AD15" t="s">
        <v>181</v>
      </c>
      <c r="AE15" t="s">
        <v>335</v>
      </c>
      <c r="AF15" t="s">
        <v>278</v>
      </c>
      <c r="AG15" t="s">
        <v>230</v>
      </c>
      <c r="AH15" t="s">
        <v>255</v>
      </c>
      <c r="AI15">
        <v>105</v>
      </c>
      <c r="AJ15">
        <v>9</v>
      </c>
      <c r="AK15">
        <v>3</v>
      </c>
      <c r="AL15">
        <v>3</v>
      </c>
      <c r="AM15">
        <v>3</v>
      </c>
      <c r="AN15">
        <v>4</v>
      </c>
      <c r="AO15">
        <v>7</v>
      </c>
      <c r="AP15">
        <v>2</v>
      </c>
      <c r="AQ15">
        <v>3</v>
      </c>
      <c r="AR15">
        <v>5</v>
      </c>
      <c r="AS15" t="s">
        <v>122</v>
      </c>
      <c r="AT15" t="s">
        <v>122</v>
      </c>
      <c r="AU15" t="s">
        <v>188</v>
      </c>
      <c r="AV15" t="s">
        <v>189</v>
      </c>
      <c r="AW15" t="s">
        <v>334</v>
      </c>
    </row>
    <row r="16" spans="1:50" x14ac:dyDescent="0.25">
      <c r="A16" t="s">
        <v>379</v>
      </c>
      <c r="B16" t="s">
        <v>380</v>
      </c>
      <c r="C16" t="s">
        <v>381</v>
      </c>
      <c r="D16">
        <v>105</v>
      </c>
      <c r="E16">
        <f t="shared" si="0"/>
        <v>17.5</v>
      </c>
      <c r="F16" t="s">
        <v>178</v>
      </c>
      <c r="G16" t="s">
        <v>213</v>
      </c>
      <c r="H16" t="s">
        <v>334</v>
      </c>
      <c r="K16" t="s">
        <v>180</v>
      </c>
      <c r="L16" t="s">
        <v>181</v>
      </c>
      <c r="M16" t="s">
        <v>180</v>
      </c>
      <c r="N16" t="s">
        <v>181</v>
      </c>
      <c r="O16" t="s">
        <v>181</v>
      </c>
      <c r="P16" t="s">
        <v>181</v>
      </c>
      <c r="Q16">
        <v>0</v>
      </c>
      <c r="R16" t="s">
        <v>181</v>
      </c>
      <c r="S16" t="s">
        <v>180</v>
      </c>
      <c r="T16" t="s">
        <v>181</v>
      </c>
      <c r="U16" t="s">
        <v>181</v>
      </c>
      <c r="V16" t="s">
        <v>181</v>
      </c>
      <c r="W16" t="s">
        <v>181</v>
      </c>
      <c r="X16" t="s">
        <v>277</v>
      </c>
      <c r="Y16" t="s">
        <v>181</v>
      </c>
      <c r="AA16" t="s">
        <v>181</v>
      </c>
      <c r="AB16" t="s">
        <v>382</v>
      </c>
      <c r="AC16" t="s">
        <v>334</v>
      </c>
      <c r="AD16" t="s">
        <v>181</v>
      </c>
      <c r="AE16" t="s">
        <v>335</v>
      </c>
      <c r="AF16" t="s">
        <v>278</v>
      </c>
      <c r="AG16" t="s">
        <v>230</v>
      </c>
      <c r="AH16" t="s">
        <v>273</v>
      </c>
      <c r="AI16">
        <v>105</v>
      </c>
      <c r="AJ16">
        <v>9</v>
      </c>
      <c r="AK16">
        <v>3</v>
      </c>
      <c r="AL16">
        <v>3</v>
      </c>
      <c r="AM16">
        <v>3</v>
      </c>
      <c r="AN16">
        <v>4</v>
      </c>
      <c r="AO16">
        <v>7</v>
      </c>
      <c r="AP16">
        <v>2</v>
      </c>
      <c r="AQ16">
        <v>3</v>
      </c>
      <c r="AR16">
        <v>5</v>
      </c>
      <c r="AS16" t="s">
        <v>122</v>
      </c>
      <c r="AT16" t="s">
        <v>122</v>
      </c>
      <c r="AU16" t="s">
        <v>188</v>
      </c>
      <c r="AV16" t="s">
        <v>189</v>
      </c>
      <c r="AW16" t="s">
        <v>334</v>
      </c>
    </row>
    <row r="17" spans="1:49" x14ac:dyDescent="0.25">
      <c r="A17" t="s">
        <v>383</v>
      </c>
      <c r="B17" t="s">
        <v>384</v>
      </c>
      <c r="C17" t="s">
        <v>385</v>
      </c>
      <c r="D17">
        <v>75</v>
      </c>
      <c r="E17">
        <f t="shared" si="0"/>
        <v>12.5</v>
      </c>
      <c r="F17" t="s">
        <v>178</v>
      </c>
      <c r="G17" t="s">
        <v>213</v>
      </c>
      <c r="H17" t="s">
        <v>334</v>
      </c>
      <c r="K17" t="s">
        <v>181</v>
      </c>
      <c r="L17" t="s">
        <v>181</v>
      </c>
      <c r="M17" t="s">
        <v>181</v>
      </c>
      <c r="N17" t="s">
        <v>181</v>
      </c>
      <c r="O17" t="s">
        <v>180</v>
      </c>
      <c r="P17" t="s">
        <v>181</v>
      </c>
      <c r="Q17">
        <v>0</v>
      </c>
      <c r="R17" t="s">
        <v>181</v>
      </c>
      <c r="S17" t="s">
        <v>181</v>
      </c>
      <c r="T17" t="s">
        <v>181</v>
      </c>
      <c r="U17" t="s">
        <v>181</v>
      </c>
      <c r="V17" t="s">
        <v>181</v>
      </c>
      <c r="W17" t="s">
        <v>181</v>
      </c>
      <c r="X17" t="s">
        <v>272</v>
      </c>
      <c r="Y17" t="s">
        <v>181</v>
      </c>
      <c r="AA17" t="s">
        <v>181</v>
      </c>
      <c r="AC17" t="s">
        <v>334</v>
      </c>
      <c r="AD17" t="s">
        <v>181</v>
      </c>
      <c r="AE17" t="s">
        <v>335</v>
      </c>
      <c r="AF17" t="s">
        <v>278</v>
      </c>
      <c r="AG17" t="s">
        <v>209</v>
      </c>
      <c r="AH17" t="s">
        <v>303</v>
      </c>
      <c r="AI17">
        <v>75</v>
      </c>
      <c r="AJ17">
        <v>9</v>
      </c>
      <c r="AK17">
        <v>3</v>
      </c>
      <c r="AL17">
        <v>3</v>
      </c>
      <c r="AM17">
        <v>3</v>
      </c>
      <c r="AN17">
        <v>4</v>
      </c>
      <c r="AO17">
        <v>7</v>
      </c>
      <c r="AP17">
        <v>2</v>
      </c>
      <c r="AQ17">
        <v>3</v>
      </c>
      <c r="AR17">
        <v>5</v>
      </c>
      <c r="AS17" t="s">
        <v>122</v>
      </c>
      <c r="AT17" t="s">
        <v>122</v>
      </c>
      <c r="AU17" t="s">
        <v>188</v>
      </c>
      <c r="AV17" t="s">
        <v>189</v>
      </c>
      <c r="AW17" t="s">
        <v>334</v>
      </c>
    </row>
    <row r="18" spans="1:49" x14ac:dyDescent="0.25">
      <c r="A18" t="s">
        <v>386</v>
      </c>
      <c r="B18" t="s">
        <v>387</v>
      </c>
      <c r="C18" t="s">
        <v>388</v>
      </c>
      <c r="D18">
        <v>75</v>
      </c>
      <c r="E18">
        <f t="shared" si="0"/>
        <v>12.5</v>
      </c>
      <c r="F18" t="s">
        <v>178</v>
      </c>
      <c r="G18" t="s">
        <v>213</v>
      </c>
      <c r="H18" t="s">
        <v>334</v>
      </c>
      <c r="K18" t="s">
        <v>180</v>
      </c>
      <c r="L18" t="s">
        <v>181</v>
      </c>
      <c r="M18" t="s">
        <v>180</v>
      </c>
      <c r="N18" t="s">
        <v>181</v>
      </c>
      <c r="O18" t="s">
        <v>181</v>
      </c>
      <c r="P18" t="s">
        <v>180</v>
      </c>
      <c r="Q18">
        <v>16</v>
      </c>
      <c r="R18" t="s">
        <v>180</v>
      </c>
      <c r="S18" t="s">
        <v>181</v>
      </c>
      <c r="T18" t="s">
        <v>181</v>
      </c>
      <c r="U18" t="s">
        <v>181</v>
      </c>
      <c r="V18" t="s">
        <v>181</v>
      </c>
      <c r="W18" t="s">
        <v>181</v>
      </c>
      <c r="X18" t="s">
        <v>293</v>
      </c>
      <c r="Y18" t="s">
        <v>181</v>
      </c>
      <c r="AA18" t="s">
        <v>181</v>
      </c>
      <c r="AC18" t="s">
        <v>334</v>
      </c>
      <c r="AD18" t="s">
        <v>181</v>
      </c>
      <c r="AE18" t="s">
        <v>335</v>
      </c>
      <c r="AF18" t="s">
        <v>278</v>
      </c>
      <c r="AG18" t="s">
        <v>209</v>
      </c>
      <c r="AH18" t="s">
        <v>289</v>
      </c>
      <c r="AI18">
        <v>75</v>
      </c>
      <c r="AJ18">
        <v>9</v>
      </c>
      <c r="AK18">
        <v>3</v>
      </c>
      <c r="AL18">
        <v>3</v>
      </c>
      <c r="AM18">
        <v>3</v>
      </c>
      <c r="AN18">
        <v>4</v>
      </c>
      <c r="AO18">
        <v>7</v>
      </c>
      <c r="AP18">
        <v>2</v>
      </c>
      <c r="AQ18">
        <v>3</v>
      </c>
      <c r="AR18">
        <v>5</v>
      </c>
      <c r="AS18" t="s">
        <v>122</v>
      </c>
      <c r="AT18" t="s">
        <v>122</v>
      </c>
      <c r="AU18" t="s">
        <v>188</v>
      </c>
      <c r="AV18" t="s">
        <v>189</v>
      </c>
      <c r="AW18" t="s">
        <v>334</v>
      </c>
    </row>
    <row r="19" spans="1:49" x14ac:dyDescent="0.25">
      <c r="A19" t="s">
        <v>389</v>
      </c>
      <c r="B19" t="s">
        <v>390</v>
      </c>
      <c r="C19" t="s">
        <v>391</v>
      </c>
      <c r="D19">
        <v>105</v>
      </c>
      <c r="E19">
        <f t="shared" si="0"/>
        <v>17.5</v>
      </c>
      <c r="F19" t="s">
        <v>178</v>
      </c>
      <c r="G19" t="s">
        <v>213</v>
      </c>
      <c r="H19" t="s">
        <v>334</v>
      </c>
      <c r="K19" t="s">
        <v>180</v>
      </c>
      <c r="L19" t="s">
        <v>181</v>
      </c>
      <c r="M19" t="s">
        <v>180</v>
      </c>
      <c r="N19" t="s">
        <v>181</v>
      </c>
      <c r="O19" t="s">
        <v>181</v>
      </c>
      <c r="P19" t="s">
        <v>180</v>
      </c>
      <c r="Q19">
        <v>22</v>
      </c>
      <c r="R19" t="s">
        <v>181</v>
      </c>
      <c r="S19" t="s">
        <v>181</v>
      </c>
      <c r="T19" t="s">
        <v>181</v>
      </c>
      <c r="U19" t="s">
        <v>181</v>
      </c>
      <c r="V19" t="s">
        <v>181</v>
      </c>
      <c r="W19" t="s">
        <v>181</v>
      </c>
      <c r="X19" t="s">
        <v>302</v>
      </c>
      <c r="Y19" t="s">
        <v>181</v>
      </c>
      <c r="AA19" t="s">
        <v>181</v>
      </c>
      <c r="AC19" t="s">
        <v>334</v>
      </c>
      <c r="AD19" t="s">
        <v>181</v>
      </c>
      <c r="AE19" t="s">
        <v>335</v>
      </c>
      <c r="AF19" t="s">
        <v>278</v>
      </c>
      <c r="AG19" t="s">
        <v>209</v>
      </c>
      <c r="AH19" t="s">
        <v>298</v>
      </c>
      <c r="AI19">
        <v>105</v>
      </c>
      <c r="AJ19">
        <v>9</v>
      </c>
      <c r="AK19">
        <v>3</v>
      </c>
      <c r="AL19">
        <v>3</v>
      </c>
      <c r="AM19">
        <v>3</v>
      </c>
      <c r="AN19">
        <v>4</v>
      </c>
      <c r="AO19">
        <v>7</v>
      </c>
      <c r="AP19">
        <v>2</v>
      </c>
      <c r="AQ19">
        <v>3</v>
      </c>
      <c r="AR19">
        <v>5</v>
      </c>
      <c r="AS19" t="s">
        <v>122</v>
      </c>
      <c r="AT19" t="s">
        <v>122</v>
      </c>
      <c r="AU19" t="s">
        <v>188</v>
      </c>
      <c r="AV19" t="s">
        <v>189</v>
      </c>
      <c r="AW19" t="s">
        <v>334</v>
      </c>
    </row>
    <row r="20" spans="1:49" x14ac:dyDescent="0.25">
      <c r="A20" t="s">
        <v>392</v>
      </c>
      <c r="B20" t="s">
        <v>393</v>
      </c>
      <c r="C20" t="s">
        <v>394</v>
      </c>
      <c r="D20">
        <v>75</v>
      </c>
      <c r="E20">
        <f t="shared" si="0"/>
        <v>12.5</v>
      </c>
      <c r="F20" t="s">
        <v>178</v>
      </c>
      <c r="G20" t="s">
        <v>213</v>
      </c>
      <c r="H20" t="s">
        <v>334</v>
      </c>
      <c r="K20" t="s">
        <v>181</v>
      </c>
      <c r="L20" t="s">
        <v>181</v>
      </c>
      <c r="M20" t="s">
        <v>181</v>
      </c>
      <c r="N20" t="s">
        <v>181</v>
      </c>
      <c r="O20" t="s">
        <v>181</v>
      </c>
      <c r="P20" t="s">
        <v>181</v>
      </c>
      <c r="Q20">
        <v>0</v>
      </c>
      <c r="R20" t="s">
        <v>181</v>
      </c>
      <c r="S20" t="s">
        <v>181</v>
      </c>
      <c r="T20" t="s">
        <v>181</v>
      </c>
      <c r="U20" t="s">
        <v>181</v>
      </c>
      <c r="V20" t="s">
        <v>181</v>
      </c>
      <c r="W20" t="s">
        <v>180</v>
      </c>
      <c r="X20" t="s">
        <v>322</v>
      </c>
      <c r="Y20" t="s">
        <v>181</v>
      </c>
      <c r="AA20" t="s">
        <v>181</v>
      </c>
      <c r="AC20" t="s">
        <v>334</v>
      </c>
      <c r="AD20" t="s">
        <v>181</v>
      </c>
      <c r="AE20" t="s">
        <v>335</v>
      </c>
      <c r="AF20" t="s">
        <v>278</v>
      </c>
      <c r="AG20" t="s">
        <v>230</v>
      </c>
      <c r="AH20" t="s">
        <v>318</v>
      </c>
      <c r="AI20">
        <v>75</v>
      </c>
      <c r="AJ20">
        <v>9</v>
      </c>
      <c r="AK20">
        <v>3</v>
      </c>
      <c r="AL20">
        <v>3</v>
      </c>
      <c r="AM20">
        <v>3</v>
      </c>
      <c r="AN20">
        <v>4</v>
      </c>
      <c r="AO20">
        <v>7</v>
      </c>
      <c r="AP20">
        <v>2</v>
      </c>
      <c r="AQ20">
        <v>3</v>
      </c>
      <c r="AR20">
        <v>5</v>
      </c>
      <c r="AS20" t="s">
        <v>122</v>
      </c>
      <c r="AT20" t="s">
        <v>122</v>
      </c>
      <c r="AU20" t="s">
        <v>188</v>
      </c>
      <c r="AV20" t="s">
        <v>189</v>
      </c>
      <c r="AW20" t="s">
        <v>334</v>
      </c>
    </row>
    <row r="21" spans="1:49" x14ac:dyDescent="0.25">
      <c r="A21" t="s">
        <v>395</v>
      </c>
      <c r="B21" t="s">
        <v>396</v>
      </c>
      <c r="C21" t="s">
        <v>397</v>
      </c>
      <c r="D21">
        <v>105</v>
      </c>
      <c r="E21">
        <f t="shared" si="0"/>
        <v>17.5</v>
      </c>
      <c r="F21" t="s">
        <v>178</v>
      </c>
      <c r="G21" t="s">
        <v>213</v>
      </c>
      <c r="H21" t="s">
        <v>334</v>
      </c>
      <c r="K21" t="s">
        <v>181</v>
      </c>
      <c r="L21" t="s">
        <v>181</v>
      </c>
      <c r="M21" t="s">
        <v>181</v>
      </c>
      <c r="N21" t="s">
        <v>181</v>
      </c>
      <c r="O21" t="s">
        <v>181</v>
      </c>
      <c r="P21" t="s">
        <v>180</v>
      </c>
      <c r="Q21">
        <v>16</v>
      </c>
      <c r="R21" t="s">
        <v>181</v>
      </c>
      <c r="S21" t="s">
        <v>181</v>
      </c>
      <c r="T21" t="s">
        <v>181</v>
      </c>
      <c r="U21" t="s">
        <v>181</v>
      </c>
      <c r="V21" t="s">
        <v>181</v>
      </c>
      <c r="W21" t="s">
        <v>180</v>
      </c>
      <c r="X21" t="s">
        <v>325</v>
      </c>
      <c r="Y21" t="s">
        <v>180</v>
      </c>
      <c r="Z21" t="s">
        <v>190</v>
      </c>
      <c r="AA21" t="s">
        <v>181</v>
      </c>
      <c r="AB21" t="s">
        <v>398</v>
      </c>
      <c r="AC21" t="s">
        <v>334</v>
      </c>
      <c r="AD21" t="s">
        <v>181</v>
      </c>
      <c r="AE21" t="s">
        <v>335</v>
      </c>
      <c r="AF21" t="s">
        <v>278</v>
      </c>
      <c r="AG21" t="s">
        <v>209</v>
      </c>
      <c r="AH21" t="s">
        <v>321</v>
      </c>
      <c r="AI21">
        <v>105</v>
      </c>
      <c r="AJ21">
        <v>9</v>
      </c>
      <c r="AK21">
        <v>3</v>
      </c>
      <c r="AL21">
        <v>3</v>
      </c>
      <c r="AM21">
        <v>3</v>
      </c>
      <c r="AN21">
        <v>4</v>
      </c>
      <c r="AO21">
        <v>7</v>
      </c>
      <c r="AP21">
        <v>2</v>
      </c>
      <c r="AQ21">
        <v>3</v>
      </c>
      <c r="AR21">
        <v>5</v>
      </c>
      <c r="AS21" t="s">
        <v>122</v>
      </c>
      <c r="AT21" t="s">
        <v>122</v>
      </c>
      <c r="AU21" t="s">
        <v>188</v>
      </c>
      <c r="AV21" t="s">
        <v>189</v>
      </c>
      <c r="AW21" t="s">
        <v>334</v>
      </c>
    </row>
    <row r="22" spans="1:49" x14ac:dyDescent="0.25">
      <c r="A22" t="s">
        <v>399</v>
      </c>
      <c r="B22" t="s">
        <v>400</v>
      </c>
      <c r="C22" t="s">
        <v>401</v>
      </c>
      <c r="D22">
        <v>120</v>
      </c>
      <c r="E22">
        <f t="shared" si="0"/>
        <v>20</v>
      </c>
      <c r="F22" t="s">
        <v>178</v>
      </c>
      <c r="G22" t="s">
        <v>213</v>
      </c>
      <c r="H22" t="s">
        <v>315</v>
      </c>
      <c r="K22" t="s">
        <v>181</v>
      </c>
      <c r="L22" t="s">
        <v>181</v>
      </c>
      <c r="M22" t="s">
        <v>181</v>
      </c>
      <c r="N22" t="s">
        <v>181</v>
      </c>
      <c r="O22" t="s">
        <v>181</v>
      </c>
      <c r="P22" t="s">
        <v>181</v>
      </c>
      <c r="Q22">
        <v>0</v>
      </c>
      <c r="R22" t="s">
        <v>181</v>
      </c>
      <c r="S22" t="s">
        <v>181</v>
      </c>
      <c r="T22" t="s">
        <v>181</v>
      </c>
      <c r="U22" t="s">
        <v>181</v>
      </c>
      <c r="V22" t="s">
        <v>181</v>
      </c>
      <c r="W22" t="s">
        <v>180</v>
      </c>
      <c r="X22" t="s">
        <v>316</v>
      </c>
      <c r="Y22" t="s">
        <v>180</v>
      </c>
      <c r="Z22" t="s">
        <v>190</v>
      </c>
      <c r="AA22" t="s">
        <v>181</v>
      </c>
      <c r="AB22" t="s">
        <v>402</v>
      </c>
      <c r="AC22" t="s">
        <v>334</v>
      </c>
      <c r="AD22" t="s">
        <v>181</v>
      </c>
      <c r="AE22" t="s">
        <v>335</v>
      </c>
      <c r="AF22" t="s">
        <v>278</v>
      </c>
      <c r="AG22" t="s">
        <v>209</v>
      </c>
      <c r="AH22" t="s">
        <v>312</v>
      </c>
      <c r="AI22">
        <v>120</v>
      </c>
      <c r="AJ22">
        <v>9</v>
      </c>
      <c r="AK22">
        <v>3</v>
      </c>
      <c r="AL22">
        <v>3</v>
      </c>
      <c r="AM22">
        <v>3</v>
      </c>
      <c r="AN22">
        <v>4</v>
      </c>
      <c r="AO22">
        <v>7</v>
      </c>
      <c r="AP22">
        <v>2</v>
      </c>
      <c r="AQ22">
        <v>3</v>
      </c>
      <c r="AR22">
        <v>5</v>
      </c>
      <c r="AS22" t="s">
        <v>122</v>
      </c>
      <c r="AT22" t="s">
        <v>122</v>
      </c>
      <c r="AU22" t="s">
        <v>188</v>
      </c>
      <c r="AV22" t="s">
        <v>189</v>
      </c>
      <c r="AW22" t="s">
        <v>334</v>
      </c>
    </row>
    <row r="23" spans="1:49" x14ac:dyDescent="0.25">
      <c r="A23" t="s">
        <v>403</v>
      </c>
      <c r="B23" t="s">
        <v>404</v>
      </c>
      <c r="C23" t="s">
        <v>405</v>
      </c>
      <c r="D23">
        <v>15</v>
      </c>
      <c r="E23">
        <f t="shared" si="0"/>
        <v>2.5</v>
      </c>
      <c r="F23" t="s">
        <v>310</v>
      </c>
      <c r="G23" t="s">
        <v>213</v>
      </c>
      <c r="K23" t="s">
        <v>180</v>
      </c>
      <c r="L23" t="s">
        <v>180</v>
      </c>
      <c r="M23" t="s">
        <v>180</v>
      </c>
      <c r="N23" t="s">
        <v>181</v>
      </c>
      <c r="O23" t="s">
        <v>181</v>
      </c>
      <c r="P23" t="s">
        <v>181</v>
      </c>
      <c r="Q23">
        <v>0</v>
      </c>
      <c r="R23" t="s">
        <v>181</v>
      </c>
      <c r="S23" t="s">
        <v>181</v>
      </c>
      <c r="T23" t="s">
        <v>181</v>
      </c>
      <c r="U23" t="s">
        <v>181</v>
      </c>
      <c r="V23" t="s">
        <v>181</v>
      </c>
      <c r="W23" t="s">
        <v>181</v>
      </c>
      <c r="X23" t="s">
        <v>183</v>
      </c>
      <c r="Y23" t="s">
        <v>181</v>
      </c>
      <c r="AA23" t="s">
        <v>181</v>
      </c>
      <c r="AB23" t="s">
        <v>406</v>
      </c>
      <c r="AC23" t="s">
        <v>334</v>
      </c>
      <c r="AD23" t="s">
        <v>181</v>
      </c>
      <c r="AE23" t="s">
        <v>335</v>
      </c>
      <c r="AF23" t="s">
        <v>278</v>
      </c>
      <c r="AH23" t="s">
        <v>307</v>
      </c>
      <c r="AI23">
        <v>15</v>
      </c>
      <c r="AJ23">
        <v>9</v>
      </c>
      <c r="AK23">
        <v>3</v>
      </c>
      <c r="AL23">
        <v>3</v>
      </c>
      <c r="AM23">
        <v>3</v>
      </c>
      <c r="AN23">
        <v>4</v>
      </c>
      <c r="AO23">
        <v>7</v>
      </c>
      <c r="AP23">
        <v>2</v>
      </c>
      <c r="AQ23">
        <v>3</v>
      </c>
      <c r="AR23">
        <v>5</v>
      </c>
      <c r="AS23" t="s">
        <v>122</v>
      </c>
      <c r="AT23" t="s">
        <v>122</v>
      </c>
      <c r="AU23" t="s">
        <v>188</v>
      </c>
      <c r="AV23" t="s">
        <v>189</v>
      </c>
      <c r="AW23" t="s">
        <v>334</v>
      </c>
    </row>
    <row r="24" spans="1:49" x14ac:dyDescent="0.25">
      <c r="A24" t="s">
        <v>407</v>
      </c>
      <c r="B24" t="s">
        <v>408</v>
      </c>
      <c r="C24" t="s">
        <v>409</v>
      </c>
      <c r="D24">
        <v>90</v>
      </c>
      <c r="E24">
        <f t="shared" si="0"/>
        <v>15</v>
      </c>
      <c r="F24" t="s">
        <v>178</v>
      </c>
      <c r="G24" t="s">
        <v>213</v>
      </c>
      <c r="H24" t="s">
        <v>330</v>
      </c>
      <c r="K24" t="s">
        <v>181</v>
      </c>
      <c r="L24" t="s">
        <v>181</v>
      </c>
      <c r="M24" t="s">
        <v>181</v>
      </c>
      <c r="N24" t="s">
        <v>181</v>
      </c>
      <c r="O24" t="s">
        <v>181</v>
      </c>
      <c r="P24" t="s">
        <v>181</v>
      </c>
      <c r="Q24">
        <v>0</v>
      </c>
      <c r="R24" t="s">
        <v>181</v>
      </c>
      <c r="S24" t="s">
        <v>181</v>
      </c>
      <c r="T24" t="s">
        <v>181</v>
      </c>
      <c r="U24" t="s">
        <v>181</v>
      </c>
      <c r="V24" t="s">
        <v>181</v>
      </c>
      <c r="W24" t="s">
        <v>181</v>
      </c>
      <c r="X24" t="s">
        <v>183</v>
      </c>
      <c r="Y24" t="s">
        <v>181</v>
      </c>
      <c r="AA24" t="s">
        <v>181</v>
      </c>
      <c r="AB24" t="s">
        <v>410</v>
      </c>
      <c r="AC24" t="s">
        <v>334</v>
      </c>
      <c r="AD24" t="s">
        <v>181</v>
      </c>
      <c r="AE24" t="s">
        <v>335</v>
      </c>
      <c r="AF24" t="s">
        <v>278</v>
      </c>
      <c r="AH24" t="s">
        <v>327</v>
      </c>
      <c r="AI24">
        <v>90</v>
      </c>
      <c r="AJ24">
        <v>9</v>
      </c>
      <c r="AK24">
        <v>3</v>
      </c>
      <c r="AL24">
        <v>3</v>
      </c>
      <c r="AM24">
        <v>3</v>
      </c>
      <c r="AN24">
        <v>4</v>
      </c>
      <c r="AO24">
        <v>7</v>
      </c>
      <c r="AP24">
        <v>2</v>
      </c>
      <c r="AQ24">
        <v>3</v>
      </c>
      <c r="AR24">
        <v>5</v>
      </c>
      <c r="AS24" t="s">
        <v>122</v>
      </c>
      <c r="AT24" t="s">
        <v>122</v>
      </c>
      <c r="AU24" t="s">
        <v>188</v>
      </c>
      <c r="AV24" t="s">
        <v>189</v>
      </c>
      <c r="AW24" t="s">
        <v>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2"/>
  <sheetViews>
    <sheetView workbookViewId="0"/>
  </sheetViews>
  <sheetFormatPr baseColWidth="10" defaultColWidth="9.140625" defaultRowHeight="15" x14ac:dyDescent="0.25"/>
  <cols>
    <col min="1" max="24" width="16" customWidth="1"/>
  </cols>
  <sheetData>
    <row r="1" spans="1:24" ht="30" x14ac:dyDescent="0.25">
      <c r="A1" s="3" t="s">
        <v>411</v>
      </c>
      <c r="B1" s="3" t="s">
        <v>412</v>
      </c>
      <c r="C1" s="3" t="s">
        <v>413</v>
      </c>
      <c r="D1" s="3" t="s">
        <v>414</v>
      </c>
      <c r="E1" s="3" t="s">
        <v>415</v>
      </c>
      <c r="F1" s="3" t="s">
        <v>416</v>
      </c>
      <c r="G1" s="3" t="s">
        <v>417</v>
      </c>
      <c r="H1" s="3" t="s">
        <v>418</v>
      </c>
      <c r="I1" s="3" t="s">
        <v>419</v>
      </c>
      <c r="J1" s="3" t="s">
        <v>420</v>
      </c>
      <c r="K1" s="3" t="s">
        <v>421</v>
      </c>
      <c r="L1" s="3" t="s">
        <v>422</v>
      </c>
      <c r="M1" s="3" t="s">
        <v>423</v>
      </c>
      <c r="N1" s="3" t="s">
        <v>424</v>
      </c>
      <c r="O1" s="3" t="s">
        <v>425</v>
      </c>
      <c r="P1" s="3" t="s">
        <v>426</v>
      </c>
      <c r="Q1" s="3" t="s">
        <v>427</v>
      </c>
      <c r="R1" s="3" t="s">
        <v>428</v>
      </c>
      <c r="S1" s="3" t="s">
        <v>429</v>
      </c>
      <c r="T1" s="3" t="s">
        <v>430</v>
      </c>
      <c r="U1" s="3" t="s">
        <v>431</v>
      </c>
      <c r="V1" s="3" t="s">
        <v>432</v>
      </c>
      <c r="W1" s="3" t="s">
        <v>433</v>
      </c>
      <c r="X1" s="3" t="s">
        <v>434</v>
      </c>
    </row>
    <row r="2" spans="1:24" x14ac:dyDescent="0.25">
      <c r="A2" t="s">
        <v>325</v>
      </c>
      <c r="B2" t="s">
        <v>435</v>
      </c>
      <c r="C2">
        <v>16</v>
      </c>
      <c r="D2" t="s">
        <v>180</v>
      </c>
      <c r="E2">
        <v>16</v>
      </c>
      <c r="F2" t="s">
        <v>436</v>
      </c>
      <c r="G2" t="s">
        <v>181</v>
      </c>
      <c r="H2" t="s">
        <v>181</v>
      </c>
      <c r="I2" t="s">
        <v>180</v>
      </c>
      <c r="J2" t="s">
        <v>181</v>
      </c>
      <c r="K2" t="s">
        <v>181</v>
      </c>
      <c r="L2" t="s">
        <v>181</v>
      </c>
      <c r="M2" t="s">
        <v>181</v>
      </c>
      <c r="N2" t="s">
        <v>181</v>
      </c>
      <c r="O2" t="s">
        <v>180</v>
      </c>
      <c r="P2" t="s">
        <v>180</v>
      </c>
      <c r="R2" t="s">
        <v>181</v>
      </c>
      <c r="S2">
        <v>1</v>
      </c>
      <c r="T2" t="s">
        <v>180</v>
      </c>
      <c r="U2" t="s">
        <v>180</v>
      </c>
      <c r="V2" t="s">
        <v>180</v>
      </c>
      <c r="W2" t="s">
        <v>180</v>
      </c>
      <c r="X2" t="s">
        <v>437</v>
      </c>
    </row>
    <row r="3" spans="1:24" x14ac:dyDescent="0.25">
      <c r="A3" t="s">
        <v>438</v>
      </c>
      <c r="B3" t="s">
        <v>439</v>
      </c>
      <c r="C3">
        <v>16</v>
      </c>
      <c r="D3" t="s">
        <v>180</v>
      </c>
      <c r="E3">
        <v>0</v>
      </c>
      <c r="F3" t="s">
        <v>440</v>
      </c>
      <c r="G3" t="s">
        <v>181</v>
      </c>
      <c r="H3" t="s">
        <v>181</v>
      </c>
      <c r="I3" t="s">
        <v>180</v>
      </c>
      <c r="J3" t="s">
        <v>181</v>
      </c>
      <c r="K3" t="s">
        <v>181</v>
      </c>
      <c r="L3" t="s">
        <v>181</v>
      </c>
      <c r="M3" t="s">
        <v>181</v>
      </c>
      <c r="N3" t="s">
        <v>181</v>
      </c>
      <c r="O3" t="s">
        <v>181</v>
      </c>
      <c r="P3" t="s">
        <v>180</v>
      </c>
      <c r="Q3" t="s">
        <v>441</v>
      </c>
      <c r="R3" t="s">
        <v>181</v>
      </c>
      <c r="S3">
        <v>1</v>
      </c>
      <c r="T3" t="s">
        <v>180</v>
      </c>
      <c r="U3" t="s">
        <v>180</v>
      </c>
      <c r="V3" t="s">
        <v>181</v>
      </c>
      <c r="W3" t="s">
        <v>181</v>
      </c>
      <c r="X3" t="s">
        <v>442</v>
      </c>
    </row>
    <row r="4" spans="1:24" x14ac:dyDescent="0.25">
      <c r="A4" t="s">
        <v>302</v>
      </c>
      <c r="B4" t="s">
        <v>443</v>
      </c>
      <c r="C4">
        <v>22</v>
      </c>
      <c r="D4" t="s">
        <v>180</v>
      </c>
      <c r="E4">
        <v>22</v>
      </c>
      <c r="F4" t="s">
        <v>436</v>
      </c>
      <c r="G4" t="s">
        <v>181</v>
      </c>
      <c r="H4" t="s">
        <v>181</v>
      </c>
      <c r="I4" t="s">
        <v>180</v>
      </c>
      <c r="J4" t="s">
        <v>180</v>
      </c>
      <c r="K4" t="s">
        <v>181</v>
      </c>
      <c r="L4" t="s">
        <v>181</v>
      </c>
      <c r="M4" t="s">
        <v>181</v>
      </c>
      <c r="N4" t="s">
        <v>181</v>
      </c>
      <c r="O4" t="s">
        <v>181</v>
      </c>
      <c r="P4" t="s">
        <v>180</v>
      </c>
      <c r="R4" t="s">
        <v>181</v>
      </c>
      <c r="S4">
        <v>1</v>
      </c>
      <c r="T4" t="s">
        <v>180</v>
      </c>
      <c r="U4" t="s">
        <v>180</v>
      </c>
      <c r="V4" t="s">
        <v>180</v>
      </c>
      <c r="W4" t="s">
        <v>180</v>
      </c>
      <c r="X4" t="s">
        <v>444</v>
      </c>
    </row>
    <row r="5" spans="1:24" x14ac:dyDescent="0.25">
      <c r="A5" t="s">
        <v>216</v>
      </c>
      <c r="B5" t="s">
        <v>445</v>
      </c>
      <c r="C5">
        <v>22</v>
      </c>
      <c r="D5" t="s">
        <v>180</v>
      </c>
      <c r="E5">
        <v>22</v>
      </c>
      <c r="F5" t="s">
        <v>436</v>
      </c>
      <c r="G5" t="s">
        <v>181</v>
      </c>
      <c r="H5" t="s">
        <v>181</v>
      </c>
      <c r="I5" t="s">
        <v>180</v>
      </c>
      <c r="J5" t="s">
        <v>180</v>
      </c>
      <c r="K5" t="s">
        <v>181</v>
      </c>
      <c r="L5" t="s">
        <v>181</v>
      </c>
      <c r="M5" t="s">
        <v>181</v>
      </c>
      <c r="N5" t="s">
        <v>181</v>
      </c>
      <c r="O5" t="s">
        <v>181</v>
      </c>
      <c r="P5" t="s">
        <v>180</v>
      </c>
      <c r="R5" t="s">
        <v>181</v>
      </c>
      <c r="S5">
        <v>1</v>
      </c>
      <c r="T5" t="s">
        <v>180</v>
      </c>
      <c r="U5" t="s">
        <v>180</v>
      </c>
      <c r="V5" t="s">
        <v>180</v>
      </c>
      <c r="W5" t="s">
        <v>180</v>
      </c>
      <c r="X5" t="s">
        <v>446</v>
      </c>
    </row>
    <row r="6" spans="1:24" x14ac:dyDescent="0.25">
      <c r="A6" t="s">
        <v>447</v>
      </c>
      <c r="B6" t="s">
        <v>448</v>
      </c>
      <c r="C6">
        <v>22</v>
      </c>
      <c r="D6" t="s">
        <v>180</v>
      </c>
      <c r="E6">
        <v>0</v>
      </c>
      <c r="F6" t="s">
        <v>440</v>
      </c>
      <c r="G6" t="s">
        <v>180</v>
      </c>
      <c r="H6" t="s">
        <v>180</v>
      </c>
      <c r="I6" t="s">
        <v>180</v>
      </c>
      <c r="J6" t="s">
        <v>181</v>
      </c>
      <c r="K6" t="s">
        <v>181</v>
      </c>
      <c r="L6" t="s">
        <v>180</v>
      </c>
      <c r="M6" t="s">
        <v>181</v>
      </c>
      <c r="N6" t="s">
        <v>181</v>
      </c>
      <c r="O6" t="s">
        <v>181</v>
      </c>
      <c r="P6" t="s">
        <v>180</v>
      </c>
      <c r="R6" t="s">
        <v>181</v>
      </c>
      <c r="S6">
        <v>1</v>
      </c>
      <c r="T6" t="s">
        <v>180</v>
      </c>
      <c r="U6" t="s">
        <v>180</v>
      </c>
      <c r="V6" t="s">
        <v>180</v>
      </c>
      <c r="W6" t="s">
        <v>180</v>
      </c>
      <c r="X6" t="s">
        <v>449</v>
      </c>
    </row>
    <row r="7" spans="1:24" x14ac:dyDescent="0.25">
      <c r="A7" t="s">
        <v>450</v>
      </c>
      <c r="B7" t="s">
        <v>451</v>
      </c>
      <c r="C7">
        <v>22</v>
      </c>
      <c r="D7" t="s">
        <v>181</v>
      </c>
      <c r="E7">
        <v>0</v>
      </c>
      <c r="F7" t="s">
        <v>452</v>
      </c>
      <c r="G7" t="s">
        <v>181</v>
      </c>
      <c r="H7" t="s">
        <v>181</v>
      </c>
      <c r="I7" t="s">
        <v>180</v>
      </c>
      <c r="J7" t="s">
        <v>181</v>
      </c>
      <c r="K7" t="s">
        <v>181</v>
      </c>
      <c r="L7" t="s">
        <v>181</v>
      </c>
      <c r="M7" t="s">
        <v>181</v>
      </c>
      <c r="N7" t="s">
        <v>181</v>
      </c>
      <c r="O7" t="s">
        <v>180</v>
      </c>
      <c r="P7" t="s">
        <v>180</v>
      </c>
      <c r="R7" t="s">
        <v>181</v>
      </c>
      <c r="S7">
        <v>1</v>
      </c>
      <c r="T7" t="s">
        <v>180</v>
      </c>
      <c r="U7" t="s">
        <v>180</v>
      </c>
      <c r="V7" t="s">
        <v>180</v>
      </c>
      <c r="W7" t="s">
        <v>180</v>
      </c>
      <c r="X7" t="s">
        <v>453</v>
      </c>
    </row>
    <row r="8" spans="1:24" x14ac:dyDescent="0.25">
      <c r="A8" t="s">
        <v>316</v>
      </c>
      <c r="B8" t="s">
        <v>454</v>
      </c>
      <c r="C8">
        <v>16</v>
      </c>
      <c r="D8" t="s">
        <v>181</v>
      </c>
      <c r="E8">
        <v>0</v>
      </c>
      <c r="F8" t="s">
        <v>452</v>
      </c>
      <c r="G8" t="s">
        <v>181</v>
      </c>
      <c r="H8" t="s">
        <v>181</v>
      </c>
      <c r="I8" t="s">
        <v>180</v>
      </c>
      <c r="J8" t="s">
        <v>181</v>
      </c>
      <c r="K8" t="s">
        <v>181</v>
      </c>
      <c r="L8" t="s">
        <v>181</v>
      </c>
      <c r="M8" t="s">
        <v>181</v>
      </c>
      <c r="N8" t="s">
        <v>181</v>
      </c>
      <c r="O8" t="s">
        <v>181</v>
      </c>
      <c r="P8" t="s">
        <v>181</v>
      </c>
      <c r="Q8" t="s">
        <v>455</v>
      </c>
      <c r="R8" t="s">
        <v>180</v>
      </c>
      <c r="S8">
        <v>1</v>
      </c>
      <c r="T8" t="s">
        <v>180</v>
      </c>
      <c r="U8" t="s">
        <v>180</v>
      </c>
      <c r="V8" t="s">
        <v>180</v>
      </c>
      <c r="W8" t="s">
        <v>180</v>
      </c>
      <c r="X8" t="s">
        <v>456</v>
      </c>
    </row>
    <row r="9" spans="1:24" x14ac:dyDescent="0.25">
      <c r="A9" t="s">
        <v>277</v>
      </c>
      <c r="B9" t="s">
        <v>457</v>
      </c>
      <c r="C9">
        <v>22</v>
      </c>
      <c r="D9" t="s">
        <v>181</v>
      </c>
      <c r="E9">
        <v>0</v>
      </c>
      <c r="F9" t="s">
        <v>452</v>
      </c>
      <c r="G9" t="s">
        <v>181</v>
      </c>
      <c r="H9" t="s">
        <v>181</v>
      </c>
      <c r="I9" t="s">
        <v>180</v>
      </c>
      <c r="J9" t="s">
        <v>181</v>
      </c>
      <c r="K9" t="s">
        <v>180</v>
      </c>
      <c r="L9" t="s">
        <v>181</v>
      </c>
      <c r="M9" t="s">
        <v>181</v>
      </c>
      <c r="N9" t="s">
        <v>181</v>
      </c>
      <c r="O9" t="s">
        <v>181</v>
      </c>
      <c r="P9" t="s">
        <v>180</v>
      </c>
      <c r="R9" t="s">
        <v>181</v>
      </c>
      <c r="S9">
        <v>1</v>
      </c>
      <c r="T9" t="s">
        <v>180</v>
      </c>
      <c r="U9" t="s">
        <v>180</v>
      </c>
      <c r="V9" t="s">
        <v>180</v>
      </c>
      <c r="W9" t="s">
        <v>180</v>
      </c>
      <c r="X9" t="s">
        <v>458</v>
      </c>
    </row>
    <row r="10" spans="1:24" x14ac:dyDescent="0.25">
      <c r="A10" t="s">
        <v>459</v>
      </c>
      <c r="B10" t="s">
        <v>460</v>
      </c>
      <c r="C10">
        <v>22</v>
      </c>
      <c r="D10" t="s">
        <v>181</v>
      </c>
      <c r="E10">
        <v>0</v>
      </c>
      <c r="F10" t="s">
        <v>452</v>
      </c>
      <c r="G10" t="s">
        <v>180</v>
      </c>
      <c r="H10" t="s">
        <v>180</v>
      </c>
      <c r="I10" t="s">
        <v>180</v>
      </c>
      <c r="J10" t="s">
        <v>181</v>
      </c>
      <c r="K10" t="s">
        <v>181</v>
      </c>
      <c r="L10" t="s">
        <v>181</v>
      </c>
      <c r="M10" t="s">
        <v>180</v>
      </c>
      <c r="N10" t="s">
        <v>181</v>
      </c>
      <c r="O10" t="s">
        <v>181</v>
      </c>
      <c r="P10" t="s">
        <v>181</v>
      </c>
      <c r="R10" t="s">
        <v>181</v>
      </c>
      <c r="S10">
        <v>2</v>
      </c>
      <c r="T10" t="s">
        <v>180</v>
      </c>
      <c r="U10" t="s">
        <v>180</v>
      </c>
      <c r="V10" t="s">
        <v>180</v>
      </c>
      <c r="W10" t="s">
        <v>180</v>
      </c>
      <c r="X10" t="s">
        <v>461</v>
      </c>
    </row>
    <row r="11" spans="1:24" x14ac:dyDescent="0.25">
      <c r="A11" t="s">
        <v>462</v>
      </c>
      <c r="B11" t="s">
        <v>463</v>
      </c>
      <c r="C11">
        <v>22</v>
      </c>
      <c r="D11" t="s">
        <v>181</v>
      </c>
      <c r="E11">
        <v>0</v>
      </c>
      <c r="F11" t="s">
        <v>452</v>
      </c>
      <c r="G11" t="s">
        <v>180</v>
      </c>
      <c r="H11" t="s">
        <v>180</v>
      </c>
      <c r="I11" t="s">
        <v>180</v>
      </c>
      <c r="J11" t="s">
        <v>181</v>
      </c>
      <c r="K11" t="s">
        <v>181</v>
      </c>
      <c r="L11" t="s">
        <v>180</v>
      </c>
      <c r="M11" t="s">
        <v>181</v>
      </c>
      <c r="N11" t="s">
        <v>181</v>
      </c>
      <c r="O11" t="s">
        <v>181</v>
      </c>
      <c r="P11" t="s">
        <v>180</v>
      </c>
      <c r="R11" t="s">
        <v>181</v>
      </c>
      <c r="S11">
        <v>1</v>
      </c>
      <c r="T11" t="s">
        <v>180</v>
      </c>
      <c r="U11" t="s">
        <v>180</v>
      </c>
      <c r="V11" t="s">
        <v>180</v>
      </c>
      <c r="W11" t="s">
        <v>180</v>
      </c>
      <c r="X11" t="s">
        <v>464</v>
      </c>
    </row>
    <row r="12" spans="1:24" x14ac:dyDescent="0.25">
      <c r="A12" t="s">
        <v>465</v>
      </c>
      <c r="B12" t="s">
        <v>466</v>
      </c>
      <c r="C12">
        <v>22</v>
      </c>
      <c r="D12" t="s">
        <v>181</v>
      </c>
      <c r="E12">
        <v>0</v>
      </c>
      <c r="F12" t="s">
        <v>452</v>
      </c>
      <c r="G12" t="s">
        <v>180</v>
      </c>
      <c r="H12" t="s">
        <v>180</v>
      </c>
      <c r="I12" t="s">
        <v>180</v>
      </c>
      <c r="J12" t="s">
        <v>181</v>
      </c>
      <c r="K12" t="s">
        <v>181</v>
      </c>
      <c r="L12" t="s">
        <v>180</v>
      </c>
      <c r="M12" t="s">
        <v>181</v>
      </c>
      <c r="N12" t="s">
        <v>181</v>
      </c>
      <c r="O12" t="s">
        <v>181</v>
      </c>
      <c r="P12" t="s">
        <v>180</v>
      </c>
      <c r="R12" t="s">
        <v>181</v>
      </c>
      <c r="S12">
        <v>1</v>
      </c>
      <c r="T12" t="s">
        <v>180</v>
      </c>
      <c r="U12" t="s">
        <v>180</v>
      </c>
      <c r="V12" t="s">
        <v>180</v>
      </c>
      <c r="W12" t="s">
        <v>180</v>
      </c>
      <c r="X12" t="s">
        <v>467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9"/>
  <sheetViews>
    <sheetView workbookViewId="0"/>
  </sheetViews>
  <sheetFormatPr baseColWidth="10" defaultColWidth="9.140625" defaultRowHeight="15" x14ac:dyDescent="0.25"/>
  <cols>
    <col min="1" max="29" width="18" customWidth="1"/>
  </cols>
  <sheetData>
    <row r="1" spans="1:29" ht="30" x14ac:dyDescent="0.25">
      <c r="A1" s="4" t="s">
        <v>468</v>
      </c>
      <c r="B1" s="4" t="s">
        <v>469</v>
      </c>
      <c r="C1" s="4" t="s">
        <v>470</v>
      </c>
      <c r="D1" s="4" t="s">
        <v>471</v>
      </c>
      <c r="E1" s="4" t="s">
        <v>472</v>
      </c>
      <c r="F1" s="4" t="s">
        <v>473</v>
      </c>
      <c r="G1" s="4" t="s">
        <v>158</v>
      </c>
      <c r="H1" s="4" t="s">
        <v>474</v>
      </c>
      <c r="I1" s="4" t="s">
        <v>475</v>
      </c>
      <c r="J1" s="4" t="s">
        <v>476</v>
      </c>
      <c r="K1" s="4" t="s">
        <v>477</v>
      </c>
      <c r="L1" s="4" t="s">
        <v>478</v>
      </c>
      <c r="M1" s="4" t="s">
        <v>479</v>
      </c>
      <c r="N1" s="4" t="s">
        <v>480</v>
      </c>
      <c r="O1" s="4" t="s">
        <v>481</v>
      </c>
      <c r="P1" s="4" t="s">
        <v>482</v>
      </c>
      <c r="Q1" s="4" t="s">
        <v>483</v>
      </c>
      <c r="R1" s="4" t="s">
        <v>484</v>
      </c>
      <c r="S1" s="4" t="s">
        <v>485</v>
      </c>
      <c r="T1" s="4" t="s">
        <v>486</v>
      </c>
      <c r="U1" s="4" t="s">
        <v>487</v>
      </c>
      <c r="V1" s="4" t="s">
        <v>488</v>
      </c>
      <c r="W1" s="4" t="s">
        <v>434</v>
      </c>
      <c r="X1" s="4" t="s">
        <v>489</v>
      </c>
      <c r="Y1" s="4" t="s">
        <v>490</v>
      </c>
      <c r="Z1" s="4" t="s">
        <v>491</v>
      </c>
      <c r="AA1" s="4" t="s">
        <v>492</v>
      </c>
      <c r="AB1" s="4" t="s">
        <v>493</v>
      </c>
      <c r="AC1" s="4" t="s">
        <v>494</v>
      </c>
    </row>
    <row r="2" spans="1:29" x14ac:dyDescent="0.25">
      <c r="A2" t="s">
        <v>495</v>
      </c>
      <c r="B2" t="s">
        <v>496</v>
      </c>
      <c r="C2" t="s">
        <v>497</v>
      </c>
      <c r="D2" t="s">
        <v>498</v>
      </c>
      <c r="E2" t="s">
        <v>499</v>
      </c>
      <c r="F2" t="s">
        <v>500</v>
      </c>
      <c r="G2" t="s">
        <v>501</v>
      </c>
      <c r="H2">
        <v>635</v>
      </c>
      <c r="I2">
        <v>85</v>
      </c>
      <c r="J2">
        <v>720</v>
      </c>
      <c r="K2">
        <v>90</v>
      </c>
      <c r="L2" t="s">
        <v>180</v>
      </c>
      <c r="M2" t="s">
        <v>180</v>
      </c>
      <c r="N2" t="s">
        <v>181</v>
      </c>
      <c r="Q2">
        <v>1</v>
      </c>
      <c r="R2">
        <v>4</v>
      </c>
      <c r="S2">
        <v>4</v>
      </c>
      <c r="T2">
        <v>3</v>
      </c>
      <c r="U2">
        <v>4</v>
      </c>
      <c r="V2">
        <v>4</v>
      </c>
      <c r="X2" t="s">
        <v>501</v>
      </c>
      <c r="Y2" t="s">
        <v>180</v>
      </c>
      <c r="Z2">
        <v>100</v>
      </c>
      <c r="AA2" t="s">
        <v>180</v>
      </c>
      <c r="AB2" t="s">
        <v>180</v>
      </c>
      <c r="AC2" t="s">
        <v>334</v>
      </c>
    </row>
    <row r="3" spans="1:29" x14ac:dyDescent="0.25">
      <c r="A3" t="s">
        <v>502</v>
      </c>
      <c r="B3" t="s">
        <v>503</v>
      </c>
      <c r="C3" t="s">
        <v>504</v>
      </c>
      <c r="D3" t="s">
        <v>505</v>
      </c>
      <c r="E3" t="s">
        <v>506</v>
      </c>
      <c r="F3" t="s">
        <v>500</v>
      </c>
      <c r="G3" t="s">
        <v>501</v>
      </c>
      <c r="H3">
        <v>635</v>
      </c>
      <c r="I3">
        <v>85</v>
      </c>
      <c r="J3">
        <v>720</v>
      </c>
      <c r="K3">
        <v>90</v>
      </c>
      <c r="L3" t="s">
        <v>180</v>
      </c>
      <c r="M3" t="s">
        <v>180</v>
      </c>
      <c r="N3" t="s">
        <v>181</v>
      </c>
      <c r="Q3">
        <v>2</v>
      </c>
      <c r="R3">
        <v>3</v>
      </c>
      <c r="S3">
        <v>5</v>
      </c>
      <c r="T3">
        <v>4</v>
      </c>
      <c r="U3">
        <v>3</v>
      </c>
      <c r="V3">
        <v>3</v>
      </c>
      <c r="X3" t="s">
        <v>501</v>
      </c>
      <c r="Y3" t="s">
        <v>180</v>
      </c>
      <c r="Z3">
        <v>100</v>
      </c>
      <c r="AA3" t="s">
        <v>180</v>
      </c>
      <c r="AB3" t="s">
        <v>180</v>
      </c>
      <c r="AC3" t="s">
        <v>334</v>
      </c>
    </row>
    <row r="4" spans="1:29" x14ac:dyDescent="0.25">
      <c r="A4" t="s">
        <v>507</v>
      </c>
      <c r="B4" t="s">
        <v>508</v>
      </c>
      <c r="C4" t="s">
        <v>509</v>
      </c>
      <c r="D4" t="s">
        <v>510</v>
      </c>
      <c r="E4" t="s">
        <v>511</v>
      </c>
      <c r="F4" t="s">
        <v>500</v>
      </c>
      <c r="G4" t="s">
        <v>501</v>
      </c>
      <c r="H4">
        <v>635</v>
      </c>
      <c r="I4">
        <v>85</v>
      </c>
      <c r="J4">
        <v>720</v>
      </c>
      <c r="K4">
        <v>90</v>
      </c>
      <c r="L4" t="s">
        <v>180</v>
      </c>
      <c r="M4" t="s">
        <v>180</v>
      </c>
      <c r="N4" t="s">
        <v>181</v>
      </c>
      <c r="Q4">
        <v>3</v>
      </c>
      <c r="R4">
        <v>3</v>
      </c>
      <c r="S4">
        <v>4</v>
      </c>
      <c r="T4">
        <v>4</v>
      </c>
      <c r="U4">
        <v>3</v>
      </c>
      <c r="V4">
        <v>4</v>
      </c>
      <c r="X4" t="s">
        <v>501</v>
      </c>
      <c r="Y4" t="s">
        <v>180</v>
      </c>
      <c r="Z4">
        <v>100</v>
      </c>
      <c r="AA4" t="s">
        <v>180</v>
      </c>
      <c r="AB4" t="s">
        <v>180</v>
      </c>
      <c r="AC4" t="s">
        <v>334</v>
      </c>
    </row>
    <row r="5" spans="1:29" x14ac:dyDescent="0.25">
      <c r="A5" t="s">
        <v>512</v>
      </c>
      <c r="B5" t="s">
        <v>513</v>
      </c>
      <c r="C5" t="s">
        <v>514</v>
      </c>
      <c r="D5" t="s">
        <v>515</v>
      </c>
      <c r="E5" t="s">
        <v>516</v>
      </c>
      <c r="F5" t="s">
        <v>500</v>
      </c>
      <c r="G5" t="s">
        <v>517</v>
      </c>
      <c r="H5">
        <v>635</v>
      </c>
      <c r="I5">
        <v>85</v>
      </c>
      <c r="J5">
        <v>720</v>
      </c>
      <c r="K5">
        <v>90</v>
      </c>
      <c r="L5" t="s">
        <v>180</v>
      </c>
      <c r="M5" t="s">
        <v>180</v>
      </c>
      <c r="N5" t="s">
        <v>181</v>
      </c>
      <c r="Q5">
        <v>4</v>
      </c>
      <c r="R5">
        <v>4</v>
      </c>
      <c r="S5">
        <v>3</v>
      </c>
      <c r="T5">
        <v>3</v>
      </c>
      <c r="U5">
        <v>4</v>
      </c>
      <c r="V5">
        <v>3</v>
      </c>
      <c r="X5" t="s">
        <v>501</v>
      </c>
      <c r="Y5" t="s">
        <v>180</v>
      </c>
      <c r="Z5">
        <v>100</v>
      </c>
      <c r="AA5" t="s">
        <v>180</v>
      </c>
      <c r="AB5" t="s">
        <v>180</v>
      </c>
      <c r="AC5" t="s">
        <v>334</v>
      </c>
    </row>
    <row r="6" spans="1:29" x14ac:dyDescent="0.25">
      <c r="A6" t="s">
        <v>518</v>
      </c>
      <c r="B6" t="s">
        <v>519</v>
      </c>
      <c r="C6" t="s">
        <v>520</v>
      </c>
      <c r="D6" t="s">
        <v>521</v>
      </c>
      <c r="E6" t="s">
        <v>522</v>
      </c>
      <c r="F6" t="s">
        <v>500</v>
      </c>
      <c r="G6" t="s">
        <v>501</v>
      </c>
      <c r="H6">
        <v>635</v>
      </c>
      <c r="I6">
        <v>85</v>
      </c>
      <c r="J6">
        <v>720</v>
      </c>
      <c r="K6">
        <v>90</v>
      </c>
      <c r="L6" t="s">
        <v>180</v>
      </c>
      <c r="M6" t="s">
        <v>180</v>
      </c>
      <c r="N6" t="s">
        <v>181</v>
      </c>
      <c r="Q6">
        <v>5</v>
      </c>
      <c r="R6">
        <v>4</v>
      </c>
      <c r="S6">
        <v>4</v>
      </c>
      <c r="T6">
        <v>4</v>
      </c>
      <c r="U6">
        <v>4</v>
      </c>
      <c r="V6">
        <v>4</v>
      </c>
      <c r="X6" t="s">
        <v>501</v>
      </c>
      <c r="Y6" t="s">
        <v>180</v>
      </c>
      <c r="Z6">
        <v>100</v>
      </c>
      <c r="AA6" t="s">
        <v>180</v>
      </c>
      <c r="AB6" t="s">
        <v>180</v>
      </c>
      <c r="AC6" t="s">
        <v>334</v>
      </c>
    </row>
    <row r="7" spans="1:29" x14ac:dyDescent="0.25">
      <c r="A7" t="s">
        <v>523</v>
      </c>
      <c r="B7" t="s">
        <v>524</v>
      </c>
      <c r="C7" t="s">
        <v>525</v>
      </c>
      <c r="D7" t="s">
        <v>526</v>
      </c>
      <c r="E7" t="s">
        <v>527</v>
      </c>
      <c r="F7" t="s">
        <v>500</v>
      </c>
      <c r="G7" t="s">
        <v>501</v>
      </c>
      <c r="H7">
        <v>635</v>
      </c>
      <c r="I7">
        <v>85</v>
      </c>
      <c r="J7">
        <v>720</v>
      </c>
      <c r="K7">
        <v>90</v>
      </c>
      <c r="L7" t="s">
        <v>180</v>
      </c>
      <c r="M7" t="s">
        <v>180</v>
      </c>
      <c r="N7" t="s">
        <v>181</v>
      </c>
      <c r="Q7">
        <v>6</v>
      </c>
      <c r="R7">
        <v>5</v>
      </c>
      <c r="S7">
        <v>3</v>
      </c>
      <c r="T7">
        <v>3</v>
      </c>
      <c r="U7">
        <v>5</v>
      </c>
      <c r="V7">
        <v>5</v>
      </c>
      <c r="X7" t="s">
        <v>501</v>
      </c>
      <c r="Y7" t="s">
        <v>180</v>
      </c>
      <c r="Z7">
        <v>100</v>
      </c>
      <c r="AA7" t="s">
        <v>180</v>
      </c>
      <c r="AB7" t="s">
        <v>180</v>
      </c>
      <c r="AC7" t="s">
        <v>334</v>
      </c>
    </row>
    <row r="8" spans="1:29" x14ac:dyDescent="0.25">
      <c r="A8" t="s">
        <v>528</v>
      </c>
      <c r="B8" t="s">
        <v>529</v>
      </c>
      <c r="C8" t="s">
        <v>530</v>
      </c>
      <c r="D8" t="s">
        <v>531</v>
      </c>
      <c r="E8" t="s">
        <v>532</v>
      </c>
      <c r="F8" t="s">
        <v>500</v>
      </c>
      <c r="G8" t="s">
        <v>517</v>
      </c>
      <c r="H8">
        <v>635</v>
      </c>
      <c r="I8">
        <v>85</v>
      </c>
      <c r="J8">
        <v>720</v>
      </c>
      <c r="K8">
        <v>90</v>
      </c>
      <c r="L8" t="s">
        <v>180</v>
      </c>
      <c r="M8" t="s">
        <v>180</v>
      </c>
      <c r="N8" t="s">
        <v>181</v>
      </c>
      <c r="Q8">
        <v>7</v>
      </c>
      <c r="R8">
        <v>4</v>
      </c>
      <c r="S8">
        <v>3</v>
      </c>
      <c r="T8">
        <v>3</v>
      </c>
      <c r="U8">
        <v>4</v>
      </c>
      <c r="V8">
        <v>4</v>
      </c>
      <c r="X8" t="s">
        <v>501</v>
      </c>
      <c r="Y8" t="s">
        <v>180</v>
      </c>
      <c r="Z8">
        <v>100</v>
      </c>
      <c r="AA8" t="s">
        <v>180</v>
      </c>
      <c r="AB8" t="s">
        <v>180</v>
      </c>
      <c r="AC8" t="s">
        <v>334</v>
      </c>
    </row>
    <row r="9" spans="1:29" x14ac:dyDescent="0.25">
      <c r="A9" t="s">
        <v>533</v>
      </c>
      <c r="B9" t="s">
        <v>534</v>
      </c>
      <c r="C9" t="s">
        <v>535</v>
      </c>
      <c r="D9" t="s">
        <v>536</v>
      </c>
      <c r="E9" t="s">
        <v>537</v>
      </c>
      <c r="F9" t="s">
        <v>500</v>
      </c>
      <c r="G9" t="s">
        <v>501</v>
      </c>
      <c r="H9">
        <v>635</v>
      </c>
      <c r="I9">
        <v>85</v>
      </c>
      <c r="J9">
        <v>720</v>
      </c>
      <c r="K9">
        <v>90</v>
      </c>
      <c r="L9" t="s">
        <v>180</v>
      </c>
      <c r="M9" t="s">
        <v>180</v>
      </c>
      <c r="N9" t="s">
        <v>181</v>
      </c>
      <c r="Q9">
        <v>8</v>
      </c>
      <c r="R9">
        <v>3</v>
      </c>
      <c r="S9">
        <v>5</v>
      </c>
      <c r="T9">
        <v>4</v>
      </c>
      <c r="U9">
        <v>3</v>
      </c>
      <c r="V9">
        <v>3</v>
      </c>
      <c r="X9" t="s">
        <v>501</v>
      </c>
      <c r="Y9" t="s">
        <v>180</v>
      </c>
      <c r="Z9">
        <v>100</v>
      </c>
      <c r="AA9" t="s">
        <v>180</v>
      </c>
      <c r="AB9" t="s">
        <v>180</v>
      </c>
      <c r="AC9" t="s">
        <v>334</v>
      </c>
    </row>
    <row r="10" spans="1:29" x14ac:dyDescent="0.25">
      <c r="A10" t="s">
        <v>538</v>
      </c>
      <c r="B10" t="s">
        <v>539</v>
      </c>
      <c r="C10" t="s">
        <v>540</v>
      </c>
      <c r="D10" t="s">
        <v>541</v>
      </c>
      <c r="E10" t="s">
        <v>542</v>
      </c>
      <c r="F10" t="s">
        <v>500</v>
      </c>
      <c r="G10" t="s">
        <v>501</v>
      </c>
      <c r="H10">
        <v>635</v>
      </c>
      <c r="I10">
        <v>85</v>
      </c>
      <c r="J10">
        <v>720</v>
      </c>
      <c r="K10">
        <v>90</v>
      </c>
      <c r="L10" t="s">
        <v>180</v>
      </c>
      <c r="M10" t="s">
        <v>180</v>
      </c>
      <c r="N10" t="s">
        <v>181</v>
      </c>
      <c r="Q10">
        <v>9</v>
      </c>
      <c r="R10">
        <v>4</v>
      </c>
      <c r="S10">
        <v>4</v>
      </c>
      <c r="T10">
        <v>4</v>
      </c>
      <c r="U10">
        <v>4</v>
      </c>
      <c r="V10">
        <v>5</v>
      </c>
      <c r="X10" t="s">
        <v>501</v>
      </c>
      <c r="Y10" t="s">
        <v>180</v>
      </c>
      <c r="Z10">
        <v>100</v>
      </c>
      <c r="AA10" t="s">
        <v>180</v>
      </c>
      <c r="AB10" t="s">
        <v>180</v>
      </c>
      <c r="AC10" t="s">
        <v>334</v>
      </c>
    </row>
    <row r="11" spans="1:29" x14ac:dyDescent="0.25">
      <c r="A11" t="s">
        <v>543</v>
      </c>
      <c r="B11" t="s">
        <v>544</v>
      </c>
      <c r="C11" t="s">
        <v>545</v>
      </c>
      <c r="D11" t="s">
        <v>546</v>
      </c>
      <c r="E11" t="s">
        <v>547</v>
      </c>
      <c r="F11" t="s">
        <v>500</v>
      </c>
      <c r="G11" t="s">
        <v>517</v>
      </c>
      <c r="H11">
        <v>635</v>
      </c>
      <c r="I11">
        <v>85</v>
      </c>
      <c r="J11">
        <v>720</v>
      </c>
      <c r="K11">
        <v>90</v>
      </c>
      <c r="L11" t="s">
        <v>180</v>
      </c>
      <c r="M11" t="s">
        <v>180</v>
      </c>
      <c r="N11" t="s">
        <v>181</v>
      </c>
      <c r="Q11">
        <v>10</v>
      </c>
      <c r="R11">
        <v>5</v>
      </c>
      <c r="S11">
        <v>3</v>
      </c>
      <c r="T11">
        <v>3</v>
      </c>
      <c r="U11">
        <v>5</v>
      </c>
      <c r="V11">
        <v>4</v>
      </c>
      <c r="X11" t="s">
        <v>501</v>
      </c>
      <c r="Y11" t="s">
        <v>180</v>
      </c>
      <c r="Z11">
        <v>100</v>
      </c>
      <c r="AA11" t="s">
        <v>180</v>
      </c>
      <c r="AB11" t="s">
        <v>180</v>
      </c>
      <c r="AC11" t="s">
        <v>334</v>
      </c>
    </row>
    <row r="12" spans="1:29" x14ac:dyDescent="0.25">
      <c r="A12" t="s">
        <v>548</v>
      </c>
      <c r="B12" t="s">
        <v>549</v>
      </c>
      <c r="C12" t="s">
        <v>550</v>
      </c>
      <c r="D12" t="s">
        <v>551</v>
      </c>
      <c r="E12" t="s">
        <v>552</v>
      </c>
      <c r="F12" t="s">
        <v>553</v>
      </c>
      <c r="G12" t="s">
        <v>517</v>
      </c>
      <c r="H12">
        <v>760</v>
      </c>
      <c r="I12">
        <v>0</v>
      </c>
      <c r="J12">
        <v>720</v>
      </c>
      <c r="K12">
        <v>90</v>
      </c>
      <c r="L12" t="s">
        <v>180</v>
      </c>
      <c r="M12" t="s">
        <v>180</v>
      </c>
      <c r="N12" t="s">
        <v>181</v>
      </c>
      <c r="Q12">
        <v>11</v>
      </c>
      <c r="R12">
        <v>4</v>
      </c>
      <c r="S12">
        <v>3</v>
      </c>
      <c r="T12">
        <v>3</v>
      </c>
      <c r="U12">
        <v>4</v>
      </c>
      <c r="V12">
        <v>3</v>
      </c>
      <c r="X12" t="s">
        <v>501</v>
      </c>
      <c r="Y12" t="s">
        <v>180</v>
      </c>
      <c r="Z12">
        <v>100</v>
      </c>
      <c r="AA12" t="s">
        <v>180</v>
      </c>
      <c r="AB12" t="s">
        <v>180</v>
      </c>
      <c r="AC12" t="s">
        <v>334</v>
      </c>
    </row>
    <row r="13" spans="1:29" x14ac:dyDescent="0.25">
      <c r="A13" t="s">
        <v>554</v>
      </c>
      <c r="B13" t="s">
        <v>555</v>
      </c>
      <c r="C13" t="s">
        <v>556</v>
      </c>
      <c r="D13" t="s">
        <v>557</v>
      </c>
      <c r="E13" t="s">
        <v>558</v>
      </c>
      <c r="F13" t="s">
        <v>553</v>
      </c>
      <c r="G13" t="s">
        <v>501</v>
      </c>
      <c r="H13">
        <v>760</v>
      </c>
      <c r="I13">
        <v>0</v>
      </c>
      <c r="J13">
        <v>720</v>
      </c>
      <c r="K13">
        <v>90</v>
      </c>
      <c r="L13" t="s">
        <v>180</v>
      </c>
      <c r="M13" t="s">
        <v>180</v>
      </c>
      <c r="N13" t="s">
        <v>181</v>
      </c>
      <c r="Q13">
        <v>12</v>
      </c>
      <c r="R13">
        <v>4</v>
      </c>
      <c r="S13">
        <v>4</v>
      </c>
      <c r="T13">
        <v>4</v>
      </c>
      <c r="U13">
        <v>4</v>
      </c>
      <c r="V13">
        <v>4</v>
      </c>
      <c r="X13" t="s">
        <v>501</v>
      </c>
      <c r="Y13" t="s">
        <v>180</v>
      </c>
      <c r="Z13">
        <v>100</v>
      </c>
      <c r="AA13" t="s">
        <v>180</v>
      </c>
      <c r="AB13" t="s">
        <v>180</v>
      </c>
      <c r="AC13" t="s">
        <v>334</v>
      </c>
    </row>
    <row r="14" spans="1:29" x14ac:dyDescent="0.25">
      <c r="A14" t="s">
        <v>559</v>
      </c>
      <c r="B14" t="s">
        <v>560</v>
      </c>
      <c r="C14" t="s">
        <v>561</v>
      </c>
      <c r="D14" t="s">
        <v>562</v>
      </c>
      <c r="E14" t="s">
        <v>563</v>
      </c>
      <c r="F14" t="s">
        <v>553</v>
      </c>
      <c r="G14" t="s">
        <v>517</v>
      </c>
      <c r="H14">
        <v>760</v>
      </c>
      <c r="I14">
        <v>0</v>
      </c>
      <c r="J14">
        <v>720</v>
      </c>
      <c r="K14">
        <v>90</v>
      </c>
      <c r="L14" t="s">
        <v>180</v>
      </c>
      <c r="M14" t="s">
        <v>180</v>
      </c>
      <c r="N14" t="s">
        <v>181</v>
      </c>
      <c r="Q14">
        <v>13</v>
      </c>
      <c r="R14">
        <v>4</v>
      </c>
      <c r="S14">
        <v>3</v>
      </c>
      <c r="T14">
        <v>3</v>
      </c>
      <c r="U14">
        <v>4</v>
      </c>
      <c r="V14">
        <v>4</v>
      </c>
      <c r="X14" t="s">
        <v>501</v>
      </c>
      <c r="Y14" t="s">
        <v>180</v>
      </c>
      <c r="Z14">
        <v>100</v>
      </c>
      <c r="AA14" t="s">
        <v>180</v>
      </c>
      <c r="AB14" t="s">
        <v>180</v>
      </c>
      <c r="AC14" t="s">
        <v>334</v>
      </c>
    </row>
    <row r="15" spans="1:29" x14ac:dyDescent="0.25">
      <c r="A15" t="s">
        <v>564</v>
      </c>
      <c r="B15" t="s">
        <v>565</v>
      </c>
      <c r="C15" t="s">
        <v>566</v>
      </c>
      <c r="D15" t="s">
        <v>567</v>
      </c>
      <c r="E15" t="s">
        <v>568</v>
      </c>
      <c r="F15" t="s">
        <v>553</v>
      </c>
      <c r="G15" t="s">
        <v>517</v>
      </c>
      <c r="H15">
        <v>760</v>
      </c>
      <c r="I15">
        <v>0</v>
      </c>
      <c r="J15">
        <v>720</v>
      </c>
      <c r="K15">
        <v>90</v>
      </c>
      <c r="L15" t="s">
        <v>180</v>
      </c>
      <c r="M15" t="s">
        <v>180</v>
      </c>
      <c r="N15" t="s">
        <v>181</v>
      </c>
      <c r="Q15">
        <v>14</v>
      </c>
      <c r="R15">
        <v>5</v>
      </c>
      <c r="S15">
        <v>3</v>
      </c>
      <c r="T15">
        <v>3</v>
      </c>
      <c r="U15">
        <v>5</v>
      </c>
      <c r="V15">
        <v>5</v>
      </c>
      <c r="X15" t="s">
        <v>501</v>
      </c>
      <c r="Y15" t="s">
        <v>180</v>
      </c>
      <c r="Z15">
        <v>100</v>
      </c>
      <c r="AA15" t="s">
        <v>180</v>
      </c>
      <c r="AB15" t="s">
        <v>180</v>
      </c>
      <c r="AC15" t="s">
        <v>334</v>
      </c>
    </row>
    <row r="16" spans="1:29" x14ac:dyDescent="0.25">
      <c r="A16" t="s">
        <v>569</v>
      </c>
      <c r="B16" t="s">
        <v>570</v>
      </c>
      <c r="C16" t="s">
        <v>571</v>
      </c>
      <c r="D16" t="s">
        <v>572</v>
      </c>
      <c r="E16" t="s">
        <v>573</v>
      </c>
      <c r="F16" t="s">
        <v>553</v>
      </c>
      <c r="G16" t="s">
        <v>501</v>
      </c>
      <c r="H16">
        <v>760</v>
      </c>
      <c r="I16">
        <v>0</v>
      </c>
      <c r="J16">
        <v>720</v>
      </c>
      <c r="K16">
        <v>90</v>
      </c>
      <c r="L16" t="s">
        <v>180</v>
      </c>
      <c r="M16" t="s">
        <v>180</v>
      </c>
      <c r="N16" t="s">
        <v>181</v>
      </c>
      <c r="Q16">
        <v>15</v>
      </c>
      <c r="R16">
        <v>4</v>
      </c>
      <c r="S16">
        <v>4</v>
      </c>
      <c r="T16">
        <v>4</v>
      </c>
      <c r="U16">
        <v>4</v>
      </c>
      <c r="V16">
        <v>4</v>
      </c>
      <c r="X16" t="s">
        <v>501</v>
      </c>
      <c r="Y16" t="s">
        <v>180</v>
      </c>
      <c r="Z16">
        <v>100</v>
      </c>
      <c r="AA16" t="s">
        <v>180</v>
      </c>
      <c r="AB16" t="s">
        <v>180</v>
      </c>
      <c r="AC16" t="s">
        <v>334</v>
      </c>
    </row>
    <row r="17" spans="1:29" x14ac:dyDescent="0.25">
      <c r="A17" t="s">
        <v>574</v>
      </c>
      <c r="B17" t="s">
        <v>575</v>
      </c>
      <c r="C17" t="s">
        <v>576</v>
      </c>
      <c r="D17" t="s">
        <v>577</v>
      </c>
      <c r="E17" t="s">
        <v>578</v>
      </c>
      <c r="F17" t="s">
        <v>553</v>
      </c>
      <c r="G17" t="s">
        <v>517</v>
      </c>
      <c r="H17">
        <v>760</v>
      </c>
      <c r="I17">
        <v>0</v>
      </c>
      <c r="J17">
        <v>720</v>
      </c>
      <c r="K17">
        <v>90</v>
      </c>
      <c r="L17" t="s">
        <v>180</v>
      </c>
      <c r="M17" t="s">
        <v>180</v>
      </c>
      <c r="N17" t="s">
        <v>181</v>
      </c>
      <c r="Q17">
        <v>16</v>
      </c>
      <c r="R17">
        <v>4</v>
      </c>
      <c r="S17">
        <v>3</v>
      </c>
      <c r="T17">
        <v>3</v>
      </c>
      <c r="U17">
        <v>4</v>
      </c>
      <c r="V17">
        <v>4</v>
      </c>
      <c r="X17" t="s">
        <v>501</v>
      </c>
      <c r="Y17" t="s">
        <v>180</v>
      </c>
      <c r="Z17">
        <v>100</v>
      </c>
      <c r="AA17" t="s">
        <v>180</v>
      </c>
      <c r="AB17" t="s">
        <v>180</v>
      </c>
      <c r="AC17" t="s">
        <v>334</v>
      </c>
    </row>
    <row r="18" spans="1:29" x14ac:dyDescent="0.25">
      <c r="A18" t="s">
        <v>579</v>
      </c>
      <c r="B18" t="s">
        <v>580</v>
      </c>
      <c r="C18" t="s">
        <v>581</v>
      </c>
      <c r="D18" t="s">
        <v>582</v>
      </c>
      <c r="E18" t="s">
        <v>583</v>
      </c>
      <c r="F18" t="s">
        <v>553</v>
      </c>
      <c r="G18" t="s">
        <v>517</v>
      </c>
      <c r="H18">
        <v>760</v>
      </c>
      <c r="I18">
        <v>0</v>
      </c>
      <c r="J18">
        <v>720</v>
      </c>
      <c r="K18">
        <v>90</v>
      </c>
      <c r="L18" t="s">
        <v>180</v>
      </c>
      <c r="M18" t="s">
        <v>180</v>
      </c>
      <c r="N18" t="s">
        <v>181</v>
      </c>
      <c r="Q18">
        <v>17</v>
      </c>
      <c r="R18">
        <v>4</v>
      </c>
      <c r="S18">
        <v>4</v>
      </c>
      <c r="T18">
        <v>4</v>
      </c>
      <c r="U18">
        <v>4</v>
      </c>
      <c r="V18">
        <v>4</v>
      </c>
      <c r="X18" t="s">
        <v>501</v>
      </c>
      <c r="Y18" t="s">
        <v>180</v>
      </c>
      <c r="Z18">
        <v>100</v>
      </c>
      <c r="AA18" t="s">
        <v>180</v>
      </c>
      <c r="AB18" t="s">
        <v>180</v>
      </c>
      <c r="AC18" t="s">
        <v>334</v>
      </c>
    </row>
    <row r="19" spans="1:29" x14ac:dyDescent="0.25">
      <c r="A19" t="s">
        <v>584</v>
      </c>
      <c r="B19" t="s">
        <v>585</v>
      </c>
      <c r="C19" t="s">
        <v>586</v>
      </c>
      <c r="D19" t="s">
        <v>587</v>
      </c>
      <c r="E19" t="s">
        <v>588</v>
      </c>
      <c r="F19" t="s">
        <v>553</v>
      </c>
      <c r="G19" t="s">
        <v>517</v>
      </c>
      <c r="H19">
        <v>760</v>
      </c>
      <c r="I19">
        <v>0</v>
      </c>
      <c r="J19">
        <v>720</v>
      </c>
      <c r="K19">
        <v>90</v>
      </c>
      <c r="L19" t="s">
        <v>180</v>
      </c>
      <c r="M19" t="s">
        <v>180</v>
      </c>
      <c r="N19" t="s">
        <v>181</v>
      </c>
      <c r="Q19">
        <v>18</v>
      </c>
      <c r="R19">
        <v>3</v>
      </c>
      <c r="S19">
        <v>5</v>
      </c>
      <c r="T19">
        <v>4</v>
      </c>
      <c r="U19">
        <v>3</v>
      </c>
      <c r="V19">
        <v>3</v>
      </c>
      <c r="X19" t="s">
        <v>501</v>
      </c>
      <c r="Y19" t="s">
        <v>180</v>
      </c>
      <c r="Z19">
        <v>100</v>
      </c>
      <c r="AA19" t="s">
        <v>180</v>
      </c>
      <c r="AB19" t="s">
        <v>180</v>
      </c>
      <c r="AC19" t="s">
        <v>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"/>
  <sheetViews>
    <sheetView workbookViewId="0">
      <selection activeCell="N4" sqref="N4:N5"/>
    </sheetView>
  </sheetViews>
  <sheetFormatPr baseColWidth="10" defaultColWidth="9.140625" defaultRowHeight="15" x14ac:dyDescent="0.25"/>
  <cols>
    <col min="1" max="14" width="18" customWidth="1"/>
  </cols>
  <sheetData>
    <row r="1" spans="1:14" x14ac:dyDescent="0.25">
      <c r="A1" s="5" t="s">
        <v>589</v>
      </c>
      <c r="B1" s="5" t="s">
        <v>590</v>
      </c>
      <c r="C1" s="5" t="s">
        <v>591</v>
      </c>
      <c r="D1" s="5" t="s">
        <v>592</v>
      </c>
      <c r="E1" s="5" t="s">
        <v>593</v>
      </c>
      <c r="F1" s="5" t="s">
        <v>594</v>
      </c>
      <c r="G1" s="5" t="s">
        <v>595</v>
      </c>
      <c r="H1" s="5" t="s">
        <v>596</v>
      </c>
      <c r="I1" s="5" t="s">
        <v>597</v>
      </c>
      <c r="J1" s="5" t="s">
        <v>598</v>
      </c>
      <c r="K1" s="5" t="s">
        <v>599</v>
      </c>
      <c r="L1" s="5" t="s">
        <v>600</v>
      </c>
      <c r="M1" s="5" t="s">
        <v>156</v>
      </c>
      <c r="N1" s="5" t="s">
        <v>601</v>
      </c>
    </row>
    <row r="2" spans="1:14" x14ac:dyDescent="0.25">
      <c r="A2" t="s">
        <v>602</v>
      </c>
      <c r="B2" t="s">
        <v>603</v>
      </c>
      <c r="C2">
        <v>20</v>
      </c>
      <c r="D2">
        <v>6</v>
      </c>
      <c r="E2">
        <v>5</v>
      </c>
      <c r="F2" t="s">
        <v>180</v>
      </c>
      <c r="G2" t="s">
        <v>180</v>
      </c>
      <c r="H2" t="s">
        <v>604</v>
      </c>
      <c r="I2" t="s">
        <v>605</v>
      </c>
      <c r="J2" t="s">
        <v>606</v>
      </c>
      <c r="K2" t="s">
        <v>607</v>
      </c>
      <c r="L2">
        <v>22</v>
      </c>
      <c r="M2" t="s">
        <v>608</v>
      </c>
      <c r="N2" t="s">
        <v>609</v>
      </c>
    </row>
    <row r="3" spans="1:14" x14ac:dyDescent="0.25">
      <c r="A3" t="s">
        <v>610</v>
      </c>
      <c r="B3" t="s">
        <v>611</v>
      </c>
      <c r="C3">
        <v>20</v>
      </c>
      <c r="D3">
        <v>6</v>
      </c>
      <c r="E3">
        <v>5</v>
      </c>
      <c r="F3" t="s">
        <v>180</v>
      </c>
      <c r="G3" t="s">
        <v>180</v>
      </c>
      <c r="H3" t="s">
        <v>607</v>
      </c>
      <c r="I3" t="s">
        <v>612</v>
      </c>
      <c r="J3" t="s">
        <v>613</v>
      </c>
      <c r="K3" t="s">
        <v>614</v>
      </c>
      <c r="L3">
        <v>22</v>
      </c>
      <c r="M3" t="s">
        <v>608</v>
      </c>
      <c r="N3" t="s">
        <v>615</v>
      </c>
    </row>
    <row r="4" spans="1:14" x14ac:dyDescent="0.25">
      <c r="A4" t="s">
        <v>616</v>
      </c>
      <c r="B4" t="s">
        <v>617</v>
      </c>
      <c r="C4">
        <v>10</v>
      </c>
      <c r="D4" t="s">
        <v>179</v>
      </c>
      <c r="E4" t="s">
        <v>179</v>
      </c>
      <c r="F4" t="s">
        <v>180</v>
      </c>
      <c r="G4" t="s">
        <v>180</v>
      </c>
      <c r="H4" t="s">
        <v>604</v>
      </c>
      <c r="I4" t="s">
        <v>618</v>
      </c>
      <c r="L4">
        <v>22</v>
      </c>
      <c r="M4" t="s">
        <v>608</v>
      </c>
      <c r="N4" t="s">
        <v>619</v>
      </c>
    </row>
    <row r="5" spans="1:14" x14ac:dyDescent="0.25">
      <c r="A5" t="s">
        <v>620</v>
      </c>
      <c r="B5" t="s">
        <v>621</v>
      </c>
      <c r="C5">
        <v>10</v>
      </c>
      <c r="D5" t="s">
        <v>179</v>
      </c>
      <c r="E5" t="s">
        <v>179</v>
      </c>
      <c r="F5" t="s">
        <v>180</v>
      </c>
      <c r="G5" t="s">
        <v>180</v>
      </c>
      <c r="H5" t="s">
        <v>604</v>
      </c>
      <c r="I5" t="s">
        <v>618</v>
      </c>
      <c r="L5">
        <v>22</v>
      </c>
      <c r="M5" t="s">
        <v>608</v>
      </c>
      <c r="N5" t="s">
        <v>622</v>
      </c>
    </row>
    <row r="6" spans="1:14" x14ac:dyDescent="0.25">
      <c r="A6" t="s">
        <v>623</v>
      </c>
      <c r="B6" t="s">
        <v>624</v>
      </c>
      <c r="C6">
        <v>5</v>
      </c>
      <c r="D6">
        <v>6</v>
      </c>
      <c r="E6">
        <v>5</v>
      </c>
      <c r="F6" t="s">
        <v>180</v>
      </c>
      <c r="G6" t="s">
        <v>180</v>
      </c>
      <c r="H6" t="s">
        <v>604</v>
      </c>
      <c r="I6" t="s">
        <v>605</v>
      </c>
      <c r="J6" t="s">
        <v>606</v>
      </c>
      <c r="K6" t="s">
        <v>607</v>
      </c>
      <c r="L6">
        <v>22</v>
      </c>
      <c r="M6" t="s">
        <v>608</v>
      </c>
      <c r="N6" t="s">
        <v>625</v>
      </c>
    </row>
    <row r="7" spans="1:14" x14ac:dyDescent="0.25">
      <c r="A7" t="s">
        <v>626</v>
      </c>
      <c r="B7" t="s">
        <v>627</v>
      </c>
      <c r="C7">
        <v>9</v>
      </c>
      <c r="D7">
        <v>4.5</v>
      </c>
      <c r="E7">
        <v>4</v>
      </c>
      <c r="F7" t="s">
        <v>180</v>
      </c>
      <c r="G7" t="s">
        <v>180</v>
      </c>
      <c r="H7" t="s">
        <v>628</v>
      </c>
      <c r="I7" t="s">
        <v>629</v>
      </c>
      <c r="L7">
        <v>22</v>
      </c>
      <c r="M7" t="s">
        <v>608</v>
      </c>
      <c r="N7" t="s">
        <v>630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8"/>
  <sheetViews>
    <sheetView tabSelected="1" workbookViewId="0"/>
  </sheetViews>
  <sheetFormatPr baseColWidth="10" defaultColWidth="9.140625" defaultRowHeight="15" x14ac:dyDescent="0.25"/>
  <cols>
    <col min="1" max="1" width="20" customWidth="1"/>
    <col min="2" max="2" width="47.28515625" customWidth="1"/>
    <col min="3" max="3" width="62.7109375" bestFit="1" customWidth="1"/>
    <col min="4" max="7" width="20" customWidth="1"/>
  </cols>
  <sheetData>
    <row r="1" spans="1:7" x14ac:dyDescent="0.25">
      <c r="A1" s="6" t="s">
        <v>631</v>
      </c>
      <c r="B1" s="6" t="s">
        <v>632</v>
      </c>
      <c r="C1" s="6" t="s">
        <v>633</v>
      </c>
      <c r="D1" s="6" t="s">
        <v>634</v>
      </c>
      <c r="E1" s="6" t="s">
        <v>635</v>
      </c>
      <c r="F1" s="6" t="s">
        <v>636</v>
      </c>
      <c r="G1" s="6" t="s">
        <v>637</v>
      </c>
    </row>
    <row r="2" spans="1:7" x14ac:dyDescent="0.25">
      <c r="A2" t="s">
        <v>638</v>
      </c>
      <c r="B2" t="s">
        <v>639</v>
      </c>
      <c r="C2" t="s">
        <v>640</v>
      </c>
      <c r="D2" t="s">
        <v>641</v>
      </c>
      <c r="E2" t="s">
        <v>642</v>
      </c>
      <c r="F2" t="s">
        <v>643</v>
      </c>
      <c r="G2" t="s">
        <v>180</v>
      </c>
    </row>
    <row r="3" spans="1:7" x14ac:dyDescent="0.25">
      <c r="A3" t="s">
        <v>644</v>
      </c>
      <c r="B3" t="s">
        <v>645</v>
      </c>
      <c r="C3" t="s">
        <v>646</v>
      </c>
      <c r="D3" t="s">
        <v>641</v>
      </c>
      <c r="E3" t="s">
        <v>647</v>
      </c>
      <c r="F3" t="s">
        <v>643</v>
      </c>
      <c r="G3" t="s">
        <v>180</v>
      </c>
    </row>
    <row r="4" spans="1:7" x14ac:dyDescent="0.25">
      <c r="A4" t="s">
        <v>648</v>
      </c>
      <c r="B4" t="s">
        <v>649</v>
      </c>
      <c r="C4" t="s">
        <v>650</v>
      </c>
      <c r="D4" t="s">
        <v>651</v>
      </c>
      <c r="E4" t="s">
        <v>652</v>
      </c>
      <c r="F4" t="s">
        <v>653</v>
      </c>
      <c r="G4" t="s">
        <v>181</v>
      </c>
    </row>
    <row r="5" spans="1:7" x14ac:dyDescent="0.25">
      <c r="A5" t="s">
        <v>654</v>
      </c>
      <c r="B5" t="s">
        <v>655</v>
      </c>
      <c r="C5" t="s">
        <v>656</v>
      </c>
      <c r="D5" t="s">
        <v>459</v>
      </c>
      <c r="E5" t="s">
        <v>657</v>
      </c>
      <c r="F5" t="s">
        <v>643</v>
      </c>
      <c r="G5" t="s">
        <v>180</v>
      </c>
    </row>
    <row r="6" spans="1:7" x14ac:dyDescent="0.25">
      <c r="A6" t="s">
        <v>658</v>
      </c>
      <c r="B6" t="s">
        <v>659</v>
      </c>
      <c r="C6" t="s">
        <v>660</v>
      </c>
      <c r="D6" t="s">
        <v>312</v>
      </c>
      <c r="E6" t="s">
        <v>661</v>
      </c>
      <c r="F6" t="s">
        <v>643</v>
      </c>
      <c r="G6" t="s">
        <v>180</v>
      </c>
    </row>
    <row r="7" spans="1:7" x14ac:dyDescent="0.25">
      <c r="A7" t="s">
        <v>662</v>
      </c>
      <c r="B7" t="s">
        <v>663</v>
      </c>
      <c r="C7" t="s">
        <v>664</v>
      </c>
      <c r="D7" t="s">
        <v>665</v>
      </c>
      <c r="E7" t="s">
        <v>666</v>
      </c>
      <c r="F7" t="s">
        <v>653</v>
      </c>
      <c r="G7" t="s">
        <v>180</v>
      </c>
    </row>
    <row r="8" spans="1:7" x14ac:dyDescent="0.25">
      <c r="A8" t="s">
        <v>667</v>
      </c>
      <c r="B8" t="s">
        <v>668</v>
      </c>
      <c r="C8" t="s">
        <v>669</v>
      </c>
      <c r="D8" t="s">
        <v>670</v>
      </c>
      <c r="E8" t="s">
        <v>671</v>
      </c>
      <c r="F8" t="s">
        <v>653</v>
      </c>
      <c r="G8" t="s">
        <v>181</v>
      </c>
    </row>
    <row r="9" spans="1:7" x14ac:dyDescent="0.25">
      <c r="A9" t="s">
        <v>672</v>
      </c>
      <c r="B9" t="s">
        <v>673</v>
      </c>
      <c r="C9" t="s">
        <v>674</v>
      </c>
      <c r="D9" t="s">
        <v>247</v>
      </c>
      <c r="E9" t="s">
        <v>675</v>
      </c>
      <c r="F9" t="s">
        <v>643</v>
      </c>
      <c r="G9" t="s">
        <v>180</v>
      </c>
    </row>
    <row r="10" spans="1:7" x14ac:dyDescent="0.25">
      <c r="A10" t="s">
        <v>676</v>
      </c>
      <c r="B10" t="s">
        <v>677</v>
      </c>
      <c r="C10" t="s">
        <v>678</v>
      </c>
      <c r="D10" t="s">
        <v>255</v>
      </c>
      <c r="E10" t="s">
        <v>679</v>
      </c>
      <c r="F10" t="s">
        <v>643</v>
      </c>
      <c r="G10" t="s">
        <v>180</v>
      </c>
    </row>
    <row r="11" spans="1:7" x14ac:dyDescent="0.25">
      <c r="A11" t="s">
        <v>680</v>
      </c>
      <c r="B11" t="s">
        <v>681</v>
      </c>
      <c r="C11" t="s">
        <v>682</v>
      </c>
      <c r="D11" t="s">
        <v>321</v>
      </c>
      <c r="E11" t="s">
        <v>683</v>
      </c>
      <c r="F11" t="s">
        <v>643</v>
      </c>
      <c r="G11" t="s">
        <v>180</v>
      </c>
    </row>
    <row r="12" spans="1:7" x14ac:dyDescent="0.25">
      <c r="A12" t="s">
        <v>684</v>
      </c>
      <c r="B12" t="s">
        <v>685</v>
      </c>
      <c r="C12" t="s">
        <v>686</v>
      </c>
      <c r="D12" t="s">
        <v>312</v>
      </c>
      <c r="E12" t="s">
        <v>687</v>
      </c>
      <c r="F12" t="s">
        <v>643</v>
      </c>
      <c r="G12" t="s">
        <v>180</v>
      </c>
    </row>
    <row r="13" spans="1:7" x14ac:dyDescent="0.25">
      <c r="A13" t="s">
        <v>688</v>
      </c>
      <c r="B13" t="s">
        <v>689</v>
      </c>
      <c r="C13" t="s">
        <v>690</v>
      </c>
      <c r="D13" t="s">
        <v>691</v>
      </c>
      <c r="E13" t="s">
        <v>692</v>
      </c>
      <c r="F13" t="s">
        <v>643</v>
      </c>
      <c r="G13" t="s">
        <v>180</v>
      </c>
    </row>
    <row r="14" spans="1:7" x14ac:dyDescent="0.25">
      <c r="A14" t="s">
        <v>693</v>
      </c>
      <c r="B14" t="s">
        <v>694</v>
      </c>
      <c r="C14" t="s">
        <v>695</v>
      </c>
      <c r="D14" t="s">
        <v>307</v>
      </c>
      <c r="E14" t="s">
        <v>696</v>
      </c>
      <c r="F14" t="s">
        <v>643</v>
      </c>
      <c r="G14" t="s">
        <v>180</v>
      </c>
    </row>
    <row r="15" spans="1:7" x14ac:dyDescent="0.25">
      <c r="A15" t="s">
        <v>697</v>
      </c>
      <c r="B15" t="s">
        <v>698</v>
      </c>
      <c r="C15" t="s">
        <v>699</v>
      </c>
      <c r="D15" t="s">
        <v>651</v>
      </c>
      <c r="E15" t="s">
        <v>700</v>
      </c>
      <c r="F15" t="s">
        <v>643</v>
      </c>
      <c r="G15" t="s">
        <v>180</v>
      </c>
    </row>
    <row r="16" spans="1:7" x14ac:dyDescent="0.25">
      <c r="A16" t="s">
        <v>701</v>
      </c>
      <c r="B16" t="s">
        <v>702</v>
      </c>
      <c r="C16" t="s">
        <v>703</v>
      </c>
      <c r="D16" t="s">
        <v>704</v>
      </c>
      <c r="E16" t="s">
        <v>700</v>
      </c>
      <c r="F16" t="s">
        <v>643</v>
      </c>
      <c r="G16" t="s">
        <v>180</v>
      </c>
    </row>
    <row r="17" spans="1:7" x14ac:dyDescent="0.25">
      <c r="A17" t="s">
        <v>705</v>
      </c>
      <c r="B17" t="s">
        <v>706</v>
      </c>
      <c r="C17" t="s">
        <v>707</v>
      </c>
      <c r="D17" t="s">
        <v>708</v>
      </c>
      <c r="E17" t="s">
        <v>700</v>
      </c>
      <c r="F17" t="s">
        <v>643</v>
      </c>
      <c r="G17" t="s">
        <v>180</v>
      </c>
    </row>
    <row r="18" spans="1:7" x14ac:dyDescent="0.25">
      <c r="A18" t="s">
        <v>709</v>
      </c>
      <c r="B18" t="s">
        <v>710</v>
      </c>
      <c r="C18" t="s">
        <v>711</v>
      </c>
      <c r="D18" t="s">
        <v>712</v>
      </c>
      <c r="E18" t="s">
        <v>700</v>
      </c>
      <c r="F18" t="s">
        <v>643</v>
      </c>
      <c r="G18" t="s">
        <v>180</v>
      </c>
    </row>
    <row r="19" spans="1:7" x14ac:dyDescent="0.25">
      <c r="A19" t="s">
        <v>713</v>
      </c>
      <c r="B19" t="s">
        <v>714</v>
      </c>
      <c r="C19" t="s">
        <v>715</v>
      </c>
      <c r="D19" t="s">
        <v>716</v>
      </c>
      <c r="E19" t="s">
        <v>700</v>
      </c>
      <c r="F19" t="s">
        <v>643</v>
      </c>
      <c r="G19" t="s">
        <v>180</v>
      </c>
    </row>
    <row r="20" spans="1:7" x14ac:dyDescent="0.25">
      <c r="A20" t="s">
        <v>717</v>
      </c>
      <c r="B20" t="s">
        <v>718</v>
      </c>
      <c r="C20" t="s">
        <v>719</v>
      </c>
      <c r="D20" t="s">
        <v>720</v>
      </c>
      <c r="E20" t="s">
        <v>721</v>
      </c>
      <c r="F20" t="s">
        <v>643</v>
      </c>
      <c r="G20" t="s">
        <v>180</v>
      </c>
    </row>
    <row r="21" spans="1:7" x14ac:dyDescent="0.25">
      <c r="A21" t="s">
        <v>722</v>
      </c>
      <c r="B21" t="s">
        <v>723</v>
      </c>
      <c r="C21" t="s">
        <v>724</v>
      </c>
      <c r="D21" t="s">
        <v>720</v>
      </c>
      <c r="E21" t="s">
        <v>725</v>
      </c>
      <c r="F21" t="s">
        <v>653</v>
      </c>
      <c r="G21" t="s">
        <v>181</v>
      </c>
    </row>
    <row r="22" spans="1:7" x14ac:dyDescent="0.25">
      <c r="A22" t="s">
        <v>726</v>
      </c>
      <c r="B22" t="s">
        <v>727</v>
      </c>
      <c r="C22" t="s">
        <v>728</v>
      </c>
      <c r="D22" t="s">
        <v>720</v>
      </c>
      <c r="E22" t="s">
        <v>729</v>
      </c>
      <c r="F22" t="s">
        <v>653</v>
      </c>
      <c r="G22" t="s">
        <v>181</v>
      </c>
    </row>
    <row r="23" spans="1:7" x14ac:dyDescent="0.25">
      <c r="A23" t="s">
        <v>730</v>
      </c>
      <c r="B23" t="s">
        <v>166</v>
      </c>
      <c r="C23" t="s">
        <v>731</v>
      </c>
      <c r="D23" t="s">
        <v>651</v>
      </c>
      <c r="E23" t="s">
        <v>732</v>
      </c>
      <c r="F23" t="s">
        <v>643</v>
      </c>
      <c r="G23" t="s">
        <v>180</v>
      </c>
    </row>
    <row r="24" spans="1:7" x14ac:dyDescent="0.25">
      <c r="A24" t="s">
        <v>733</v>
      </c>
      <c r="B24" t="s">
        <v>167</v>
      </c>
      <c r="C24" t="s">
        <v>734</v>
      </c>
      <c r="D24" t="s">
        <v>651</v>
      </c>
      <c r="E24" t="s">
        <v>735</v>
      </c>
      <c r="F24" t="s">
        <v>653</v>
      </c>
      <c r="G24" t="s">
        <v>181</v>
      </c>
    </row>
    <row r="25" spans="1:7" x14ac:dyDescent="0.25">
      <c r="A25" t="s">
        <v>736</v>
      </c>
      <c r="B25" t="s">
        <v>168</v>
      </c>
      <c r="C25" t="s">
        <v>737</v>
      </c>
      <c r="D25" t="s">
        <v>651</v>
      </c>
      <c r="E25" t="s">
        <v>738</v>
      </c>
      <c r="F25" t="s">
        <v>653</v>
      </c>
      <c r="G25" t="s">
        <v>181</v>
      </c>
    </row>
    <row r="26" spans="1:7" x14ac:dyDescent="0.25">
      <c r="A26" t="s">
        <v>739</v>
      </c>
      <c r="B26" t="s">
        <v>740</v>
      </c>
      <c r="C26" t="s">
        <v>741</v>
      </c>
      <c r="D26" t="s">
        <v>742</v>
      </c>
      <c r="E26" t="s">
        <v>743</v>
      </c>
      <c r="F26" t="s">
        <v>643</v>
      </c>
      <c r="G26" t="s">
        <v>180</v>
      </c>
    </row>
    <row r="27" spans="1:7" x14ac:dyDescent="0.25">
      <c r="A27" t="s">
        <v>744</v>
      </c>
      <c r="B27" t="s">
        <v>745</v>
      </c>
      <c r="C27" t="s">
        <v>746</v>
      </c>
      <c r="D27" t="s">
        <v>747</v>
      </c>
      <c r="E27" t="s">
        <v>743</v>
      </c>
      <c r="F27" t="s">
        <v>643</v>
      </c>
      <c r="G27" t="s">
        <v>180</v>
      </c>
    </row>
    <row r="28" spans="1:7" x14ac:dyDescent="0.25">
      <c r="A28" t="s">
        <v>748</v>
      </c>
      <c r="B28" t="s">
        <v>749</v>
      </c>
      <c r="C28" t="s">
        <v>750</v>
      </c>
      <c r="D28" t="s">
        <v>751</v>
      </c>
      <c r="E28" t="s">
        <v>752</v>
      </c>
      <c r="F28" t="s">
        <v>653</v>
      </c>
      <c r="G28" t="s">
        <v>181</v>
      </c>
    </row>
    <row r="29" spans="1:7" x14ac:dyDescent="0.25">
      <c r="A29" t="s">
        <v>753</v>
      </c>
      <c r="B29" t="s">
        <v>754</v>
      </c>
      <c r="C29" t="s">
        <v>755</v>
      </c>
      <c r="D29" t="s">
        <v>651</v>
      </c>
      <c r="E29" t="s">
        <v>756</v>
      </c>
      <c r="F29" t="s">
        <v>757</v>
      </c>
      <c r="G29" t="s">
        <v>181</v>
      </c>
    </row>
    <row r="30" spans="1:7" x14ac:dyDescent="0.25">
      <c r="A30" t="s">
        <v>758</v>
      </c>
      <c r="B30" t="s">
        <v>759</v>
      </c>
      <c r="C30" t="s">
        <v>760</v>
      </c>
      <c r="D30" t="s">
        <v>670</v>
      </c>
      <c r="E30" t="s">
        <v>761</v>
      </c>
      <c r="F30" t="s">
        <v>643</v>
      </c>
      <c r="G30" t="s">
        <v>180</v>
      </c>
    </row>
    <row r="31" spans="1:7" x14ac:dyDescent="0.25">
      <c r="A31" t="s">
        <v>762</v>
      </c>
      <c r="B31" t="s">
        <v>763</v>
      </c>
      <c r="C31" t="s">
        <v>764</v>
      </c>
      <c r="D31" t="s">
        <v>670</v>
      </c>
      <c r="E31" t="s">
        <v>765</v>
      </c>
      <c r="F31" t="s">
        <v>643</v>
      </c>
      <c r="G31" t="s">
        <v>181</v>
      </c>
    </row>
    <row r="32" spans="1:7" x14ac:dyDescent="0.25">
      <c r="A32" t="s">
        <v>766</v>
      </c>
      <c r="B32" t="s">
        <v>767</v>
      </c>
      <c r="C32" t="s">
        <v>768</v>
      </c>
      <c r="D32" t="s">
        <v>769</v>
      </c>
      <c r="E32" t="s">
        <v>770</v>
      </c>
      <c r="F32" t="s">
        <v>653</v>
      </c>
      <c r="G32" t="s">
        <v>181</v>
      </c>
    </row>
    <row r="33" spans="1:7" x14ac:dyDescent="0.25">
      <c r="A33" t="s">
        <v>771</v>
      </c>
      <c r="B33" t="s">
        <v>772</v>
      </c>
      <c r="C33" t="s">
        <v>773</v>
      </c>
      <c r="D33" t="s">
        <v>774</v>
      </c>
      <c r="E33" t="s">
        <v>775</v>
      </c>
      <c r="F33" t="s">
        <v>653</v>
      </c>
      <c r="G33" t="s">
        <v>181</v>
      </c>
    </row>
    <row r="34" spans="1:7" x14ac:dyDescent="0.25">
      <c r="A34" t="s">
        <v>776</v>
      </c>
      <c r="B34" t="s">
        <v>777</v>
      </c>
      <c r="C34" t="s">
        <v>778</v>
      </c>
      <c r="D34" t="s">
        <v>641</v>
      </c>
      <c r="E34" t="s">
        <v>779</v>
      </c>
      <c r="F34" t="s">
        <v>643</v>
      </c>
      <c r="G34" t="s">
        <v>180</v>
      </c>
    </row>
    <row r="35" spans="1:7" x14ac:dyDescent="0.25">
      <c r="A35" t="s">
        <v>780</v>
      </c>
      <c r="B35" t="s">
        <v>781</v>
      </c>
      <c r="C35" t="s">
        <v>782</v>
      </c>
      <c r="D35" t="s">
        <v>641</v>
      </c>
      <c r="E35" t="s">
        <v>783</v>
      </c>
      <c r="F35" t="s">
        <v>643</v>
      </c>
      <c r="G35" t="s">
        <v>180</v>
      </c>
    </row>
    <row r="36" spans="1:7" x14ac:dyDescent="0.25">
      <c r="A36" t="s">
        <v>784</v>
      </c>
      <c r="B36" t="s">
        <v>785</v>
      </c>
      <c r="C36" t="s">
        <v>786</v>
      </c>
      <c r="D36" t="s">
        <v>787</v>
      </c>
      <c r="E36" t="s">
        <v>788</v>
      </c>
      <c r="F36" t="s">
        <v>653</v>
      </c>
      <c r="G36" t="s">
        <v>181</v>
      </c>
    </row>
    <row r="37" spans="1:7" x14ac:dyDescent="0.25">
      <c r="A37" t="s">
        <v>789</v>
      </c>
      <c r="B37" t="s">
        <v>790</v>
      </c>
      <c r="C37" t="s">
        <v>791</v>
      </c>
      <c r="D37" t="s">
        <v>792</v>
      </c>
      <c r="E37" t="s">
        <v>793</v>
      </c>
      <c r="F37" t="s">
        <v>643</v>
      </c>
      <c r="G37" t="s">
        <v>794</v>
      </c>
    </row>
    <row r="38" spans="1:7" x14ac:dyDescent="0.25">
      <c r="A38" t="s">
        <v>795</v>
      </c>
      <c r="B38" t="s">
        <v>796</v>
      </c>
      <c r="C38" t="s">
        <v>797</v>
      </c>
      <c r="D38" t="s">
        <v>798</v>
      </c>
      <c r="E38" t="s">
        <v>799</v>
      </c>
      <c r="F38" t="s">
        <v>643</v>
      </c>
      <c r="G38" t="s">
        <v>180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9"/>
  <sheetViews>
    <sheetView workbookViewId="0"/>
  </sheetViews>
  <sheetFormatPr baseColWidth="10" defaultColWidth="9.140625" defaultRowHeight="15" x14ac:dyDescent="0.25"/>
  <cols>
    <col min="1" max="5" width="25" customWidth="1"/>
  </cols>
  <sheetData>
    <row r="1" spans="1:5" x14ac:dyDescent="0.25">
      <c r="A1" s="10" t="s">
        <v>800</v>
      </c>
      <c r="B1" s="10" t="s">
        <v>801</v>
      </c>
      <c r="C1" s="10" t="s">
        <v>802</v>
      </c>
      <c r="D1" s="10" t="s">
        <v>803</v>
      </c>
      <c r="E1" s="10" t="s">
        <v>804</v>
      </c>
    </row>
    <row r="2" spans="1:5" x14ac:dyDescent="0.25">
      <c r="A2" t="s">
        <v>175</v>
      </c>
      <c r="B2" t="s">
        <v>452</v>
      </c>
      <c r="C2" t="s">
        <v>452</v>
      </c>
      <c r="D2" t="s">
        <v>452</v>
      </c>
      <c r="E2" t="s">
        <v>805</v>
      </c>
    </row>
    <row r="3" spans="1:5" x14ac:dyDescent="0.25">
      <c r="A3" t="s">
        <v>191</v>
      </c>
      <c r="B3" t="s">
        <v>452</v>
      </c>
      <c r="C3" t="s">
        <v>452</v>
      </c>
      <c r="D3" t="s">
        <v>452</v>
      </c>
      <c r="E3" t="s">
        <v>190</v>
      </c>
    </row>
    <row r="4" spans="1:5" x14ac:dyDescent="0.25">
      <c r="A4" t="s">
        <v>198</v>
      </c>
      <c r="B4" t="s">
        <v>452</v>
      </c>
      <c r="C4" t="s">
        <v>452</v>
      </c>
      <c r="D4" t="s">
        <v>806</v>
      </c>
      <c r="E4" t="s">
        <v>190</v>
      </c>
    </row>
    <row r="5" spans="1:5" x14ac:dyDescent="0.25">
      <c r="A5" t="s">
        <v>203</v>
      </c>
      <c r="B5" t="s">
        <v>452</v>
      </c>
      <c r="C5" t="s">
        <v>452</v>
      </c>
      <c r="D5" t="s">
        <v>452</v>
      </c>
      <c r="E5" t="s">
        <v>190</v>
      </c>
    </row>
    <row r="6" spans="1:5" x14ac:dyDescent="0.25">
      <c r="A6" t="s">
        <v>210</v>
      </c>
      <c r="B6" t="s">
        <v>452</v>
      </c>
      <c r="C6" t="s">
        <v>452</v>
      </c>
      <c r="D6" t="s">
        <v>807</v>
      </c>
      <c r="E6" t="s">
        <v>190</v>
      </c>
    </row>
    <row r="7" spans="1:5" x14ac:dyDescent="0.25">
      <c r="A7" t="s">
        <v>219</v>
      </c>
      <c r="B7" t="s">
        <v>452</v>
      </c>
      <c r="C7" t="s">
        <v>452</v>
      </c>
      <c r="D7" t="s">
        <v>452</v>
      </c>
      <c r="E7" t="s">
        <v>190</v>
      </c>
    </row>
    <row r="8" spans="1:5" x14ac:dyDescent="0.25">
      <c r="A8" t="s">
        <v>223</v>
      </c>
      <c r="B8" t="s">
        <v>198</v>
      </c>
      <c r="C8" t="s">
        <v>198</v>
      </c>
      <c r="D8" t="s">
        <v>808</v>
      </c>
      <c r="E8" t="s">
        <v>227</v>
      </c>
    </row>
    <row r="9" spans="1:5" x14ac:dyDescent="0.25">
      <c r="A9" t="s">
        <v>231</v>
      </c>
      <c r="B9" t="s">
        <v>198</v>
      </c>
      <c r="C9" t="s">
        <v>198</v>
      </c>
      <c r="D9" t="s">
        <v>452</v>
      </c>
      <c r="E9" t="s">
        <v>227</v>
      </c>
    </row>
    <row r="10" spans="1:5" x14ac:dyDescent="0.25">
      <c r="A10" t="s">
        <v>234</v>
      </c>
      <c r="B10" t="s">
        <v>198</v>
      </c>
      <c r="C10" t="s">
        <v>198</v>
      </c>
      <c r="D10" t="s">
        <v>452</v>
      </c>
      <c r="E10" t="s">
        <v>227</v>
      </c>
    </row>
    <row r="11" spans="1:5" x14ac:dyDescent="0.25">
      <c r="A11" t="s">
        <v>239</v>
      </c>
      <c r="B11" t="s">
        <v>198</v>
      </c>
      <c r="C11" t="s">
        <v>198</v>
      </c>
      <c r="D11" t="s">
        <v>452</v>
      </c>
      <c r="E11" t="s">
        <v>227</v>
      </c>
    </row>
    <row r="12" spans="1:5" x14ac:dyDescent="0.25">
      <c r="A12" t="s">
        <v>214</v>
      </c>
      <c r="B12" t="s">
        <v>244</v>
      </c>
      <c r="C12" t="s">
        <v>244</v>
      </c>
      <c r="D12" t="s">
        <v>809</v>
      </c>
      <c r="E12" t="s">
        <v>227</v>
      </c>
    </row>
    <row r="13" spans="1:5" x14ac:dyDescent="0.25">
      <c r="A13" t="s">
        <v>247</v>
      </c>
      <c r="B13" t="s">
        <v>250</v>
      </c>
      <c r="C13" t="s">
        <v>250</v>
      </c>
      <c r="D13" t="s">
        <v>262</v>
      </c>
      <c r="E13" t="s">
        <v>278</v>
      </c>
    </row>
    <row r="14" spans="1:5" x14ac:dyDescent="0.25">
      <c r="A14" t="s">
        <v>252</v>
      </c>
      <c r="B14" t="s">
        <v>210</v>
      </c>
      <c r="C14" t="s">
        <v>210</v>
      </c>
      <c r="D14" t="s">
        <v>810</v>
      </c>
      <c r="E14" t="s">
        <v>227</v>
      </c>
    </row>
    <row r="15" spans="1:5" x14ac:dyDescent="0.25">
      <c r="A15" t="s">
        <v>258</v>
      </c>
      <c r="B15" t="s">
        <v>198</v>
      </c>
      <c r="C15" t="s">
        <v>198</v>
      </c>
      <c r="D15" t="s">
        <v>452</v>
      </c>
      <c r="E15" t="s">
        <v>227</v>
      </c>
    </row>
    <row r="16" spans="1:5" x14ac:dyDescent="0.25">
      <c r="A16" t="s">
        <v>262</v>
      </c>
      <c r="B16" t="s">
        <v>265</v>
      </c>
      <c r="C16" t="s">
        <v>265</v>
      </c>
      <c r="D16" t="s">
        <v>283</v>
      </c>
      <c r="E16" t="s">
        <v>342</v>
      </c>
    </row>
    <row r="17" spans="1:5" x14ac:dyDescent="0.25">
      <c r="A17" t="s">
        <v>268</v>
      </c>
      <c r="B17" t="s">
        <v>271</v>
      </c>
      <c r="C17" t="s">
        <v>281</v>
      </c>
      <c r="D17" t="s">
        <v>811</v>
      </c>
      <c r="E17" t="s">
        <v>278</v>
      </c>
    </row>
    <row r="18" spans="1:5" x14ac:dyDescent="0.25">
      <c r="A18" t="s">
        <v>273</v>
      </c>
      <c r="B18" t="s">
        <v>276</v>
      </c>
      <c r="C18" t="s">
        <v>812</v>
      </c>
      <c r="D18" t="s">
        <v>452</v>
      </c>
      <c r="E18" t="s">
        <v>342</v>
      </c>
    </row>
    <row r="19" spans="1:5" x14ac:dyDescent="0.25">
      <c r="A19" t="s">
        <v>255</v>
      </c>
      <c r="B19" t="s">
        <v>281</v>
      </c>
      <c r="C19" t="s">
        <v>281</v>
      </c>
      <c r="D19" t="s">
        <v>813</v>
      </c>
      <c r="E19" t="s">
        <v>278</v>
      </c>
    </row>
    <row r="20" spans="1:5" x14ac:dyDescent="0.25">
      <c r="A20" t="s">
        <v>283</v>
      </c>
      <c r="B20" t="s">
        <v>286</v>
      </c>
      <c r="C20" t="s">
        <v>814</v>
      </c>
      <c r="D20" t="s">
        <v>452</v>
      </c>
      <c r="E20" t="s">
        <v>345</v>
      </c>
    </row>
    <row r="21" spans="1:5" x14ac:dyDescent="0.25">
      <c r="A21" t="s">
        <v>289</v>
      </c>
      <c r="B21" t="s">
        <v>292</v>
      </c>
      <c r="C21" t="s">
        <v>815</v>
      </c>
      <c r="D21" t="s">
        <v>303</v>
      </c>
      <c r="E21" t="s">
        <v>342</v>
      </c>
    </row>
    <row r="22" spans="1:5" x14ac:dyDescent="0.25">
      <c r="A22" t="s">
        <v>294</v>
      </c>
      <c r="B22" t="s">
        <v>297</v>
      </c>
      <c r="C22" t="s">
        <v>297</v>
      </c>
      <c r="D22" t="s">
        <v>298</v>
      </c>
      <c r="E22" t="s">
        <v>342</v>
      </c>
    </row>
    <row r="23" spans="1:5" x14ac:dyDescent="0.25">
      <c r="A23" t="s">
        <v>298</v>
      </c>
      <c r="B23" t="s">
        <v>301</v>
      </c>
      <c r="C23" t="s">
        <v>816</v>
      </c>
      <c r="D23" t="s">
        <v>303</v>
      </c>
      <c r="E23" t="s">
        <v>345</v>
      </c>
    </row>
    <row r="24" spans="1:5" x14ac:dyDescent="0.25">
      <c r="A24" t="s">
        <v>303</v>
      </c>
      <c r="B24" t="s">
        <v>306</v>
      </c>
      <c r="C24" t="s">
        <v>817</v>
      </c>
      <c r="D24" t="s">
        <v>452</v>
      </c>
      <c r="E24" t="s">
        <v>348</v>
      </c>
    </row>
    <row r="25" spans="1:5" x14ac:dyDescent="0.25">
      <c r="A25" t="s">
        <v>307</v>
      </c>
      <c r="B25" t="s">
        <v>452</v>
      </c>
      <c r="C25" t="s">
        <v>452</v>
      </c>
      <c r="D25" t="s">
        <v>452</v>
      </c>
      <c r="E25" t="s">
        <v>190</v>
      </c>
    </row>
    <row r="26" spans="1:5" x14ac:dyDescent="0.25">
      <c r="A26" t="s">
        <v>312</v>
      </c>
      <c r="B26" t="s">
        <v>818</v>
      </c>
      <c r="C26" t="s">
        <v>818</v>
      </c>
      <c r="D26" t="s">
        <v>452</v>
      </c>
      <c r="E26" t="s">
        <v>351</v>
      </c>
    </row>
    <row r="27" spans="1:5" x14ac:dyDescent="0.25">
      <c r="A27" t="s">
        <v>318</v>
      </c>
      <c r="B27" t="s">
        <v>818</v>
      </c>
      <c r="C27" t="s">
        <v>818</v>
      </c>
      <c r="D27" t="s">
        <v>321</v>
      </c>
      <c r="E27" t="s">
        <v>351</v>
      </c>
    </row>
    <row r="28" spans="1:5" x14ac:dyDescent="0.25">
      <c r="A28" t="s">
        <v>321</v>
      </c>
      <c r="B28" t="s">
        <v>819</v>
      </c>
      <c r="C28" t="s">
        <v>818</v>
      </c>
      <c r="D28" t="s">
        <v>452</v>
      </c>
      <c r="E28" t="s">
        <v>354</v>
      </c>
    </row>
    <row r="29" spans="1:5" x14ac:dyDescent="0.25">
      <c r="A29" t="s">
        <v>327</v>
      </c>
      <c r="B29" t="s">
        <v>820</v>
      </c>
      <c r="C29" t="s">
        <v>820</v>
      </c>
      <c r="D29" t="s">
        <v>452</v>
      </c>
      <c r="E29" t="s">
        <v>351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1"/>
  <sheetViews>
    <sheetView workbookViewId="0"/>
  </sheetViews>
  <sheetFormatPr baseColWidth="10" defaultColWidth="9.140625" defaultRowHeight="15" x14ac:dyDescent="0.25"/>
  <cols>
    <col min="1" max="5" width="20" customWidth="1"/>
  </cols>
  <sheetData>
    <row r="1" spans="1:5" x14ac:dyDescent="0.25">
      <c r="A1" s="11" t="s">
        <v>821</v>
      </c>
      <c r="B1" s="11" t="s">
        <v>411</v>
      </c>
      <c r="C1" s="11" t="s">
        <v>636</v>
      </c>
      <c r="D1" s="11" t="s">
        <v>822</v>
      </c>
      <c r="E1" s="11" t="s">
        <v>823</v>
      </c>
    </row>
    <row r="2" spans="1:5" x14ac:dyDescent="0.25">
      <c r="A2" t="s">
        <v>175</v>
      </c>
      <c r="B2" t="s">
        <v>302</v>
      </c>
      <c r="C2" t="s">
        <v>190</v>
      </c>
      <c r="D2" t="s">
        <v>824</v>
      </c>
      <c r="E2" t="s">
        <v>825</v>
      </c>
    </row>
    <row r="3" spans="1:5" x14ac:dyDescent="0.25">
      <c r="A3" t="s">
        <v>175</v>
      </c>
      <c r="B3" t="s">
        <v>216</v>
      </c>
      <c r="C3" t="s">
        <v>227</v>
      </c>
      <c r="D3" t="s">
        <v>824</v>
      </c>
      <c r="E3" t="s">
        <v>826</v>
      </c>
    </row>
    <row r="4" spans="1:5" x14ac:dyDescent="0.25">
      <c r="A4" t="s">
        <v>175</v>
      </c>
      <c r="B4" t="s">
        <v>447</v>
      </c>
      <c r="C4" t="s">
        <v>278</v>
      </c>
      <c r="D4" t="s">
        <v>824</v>
      </c>
      <c r="E4" t="s">
        <v>827</v>
      </c>
    </row>
    <row r="5" spans="1:5" x14ac:dyDescent="0.25">
      <c r="A5" t="s">
        <v>191</v>
      </c>
      <c r="B5" t="s">
        <v>818</v>
      </c>
      <c r="C5" t="s">
        <v>190</v>
      </c>
      <c r="D5" t="s">
        <v>824</v>
      </c>
      <c r="E5" t="s">
        <v>828</v>
      </c>
    </row>
    <row r="6" spans="1:5" x14ac:dyDescent="0.25">
      <c r="A6" t="s">
        <v>198</v>
      </c>
      <c r="B6" t="s">
        <v>818</v>
      </c>
      <c r="C6" t="s">
        <v>190</v>
      </c>
      <c r="D6" t="s">
        <v>824</v>
      </c>
      <c r="E6" t="s">
        <v>829</v>
      </c>
    </row>
    <row r="7" spans="1:5" x14ac:dyDescent="0.25">
      <c r="A7" t="s">
        <v>203</v>
      </c>
      <c r="B7" t="s">
        <v>325</v>
      </c>
      <c r="C7" t="s">
        <v>227</v>
      </c>
      <c r="D7" t="s">
        <v>824</v>
      </c>
      <c r="E7" t="s">
        <v>830</v>
      </c>
    </row>
    <row r="8" spans="1:5" x14ac:dyDescent="0.25">
      <c r="A8" t="s">
        <v>203</v>
      </c>
      <c r="B8" t="s">
        <v>302</v>
      </c>
      <c r="C8" t="s">
        <v>190</v>
      </c>
      <c r="D8" t="s">
        <v>824</v>
      </c>
      <c r="E8" t="s">
        <v>831</v>
      </c>
    </row>
    <row r="9" spans="1:5" x14ac:dyDescent="0.25">
      <c r="A9" t="s">
        <v>203</v>
      </c>
      <c r="B9" t="s">
        <v>216</v>
      </c>
      <c r="C9" t="s">
        <v>190</v>
      </c>
      <c r="D9" t="s">
        <v>824</v>
      </c>
      <c r="E9" t="s">
        <v>831</v>
      </c>
    </row>
    <row r="10" spans="1:5" x14ac:dyDescent="0.25">
      <c r="A10" t="s">
        <v>210</v>
      </c>
      <c r="B10" t="s">
        <v>216</v>
      </c>
      <c r="C10" t="s">
        <v>190</v>
      </c>
      <c r="D10" t="s">
        <v>824</v>
      </c>
      <c r="E10" t="s">
        <v>832</v>
      </c>
    </row>
    <row r="11" spans="1:5" x14ac:dyDescent="0.25">
      <c r="A11" t="s">
        <v>210</v>
      </c>
      <c r="B11" t="s">
        <v>302</v>
      </c>
      <c r="C11" t="s">
        <v>278</v>
      </c>
      <c r="D11" t="s">
        <v>824</v>
      </c>
      <c r="E11" t="s">
        <v>833</v>
      </c>
    </row>
    <row r="12" spans="1:5" x14ac:dyDescent="0.25">
      <c r="A12" t="s">
        <v>219</v>
      </c>
      <c r="B12" t="s">
        <v>818</v>
      </c>
      <c r="C12" t="s">
        <v>190</v>
      </c>
      <c r="D12" t="s">
        <v>824</v>
      </c>
      <c r="E12" t="s">
        <v>834</v>
      </c>
    </row>
    <row r="13" spans="1:5" x14ac:dyDescent="0.25">
      <c r="A13" t="s">
        <v>223</v>
      </c>
      <c r="B13" t="s">
        <v>302</v>
      </c>
      <c r="C13" t="s">
        <v>190</v>
      </c>
      <c r="D13" t="s">
        <v>835</v>
      </c>
      <c r="E13" t="s">
        <v>836</v>
      </c>
    </row>
    <row r="14" spans="1:5" x14ac:dyDescent="0.25">
      <c r="A14" t="s">
        <v>223</v>
      </c>
      <c r="B14" t="s">
        <v>447</v>
      </c>
      <c r="C14" t="s">
        <v>190</v>
      </c>
      <c r="D14" t="s">
        <v>835</v>
      </c>
      <c r="E14" t="s">
        <v>836</v>
      </c>
    </row>
    <row r="15" spans="1:5" x14ac:dyDescent="0.25">
      <c r="A15" t="s">
        <v>223</v>
      </c>
      <c r="B15" t="s">
        <v>462</v>
      </c>
      <c r="C15" t="s">
        <v>190</v>
      </c>
      <c r="D15" t="s">
        <v>835</v>
      </c>
      <c r="E15" t="s">
        <v>836</v>
      </c>
    </row>
    <row r="16" spans="1:5" x14ac:dyDescent="0.25">
      <c r="A16" t="s">
        <v>223</v>
      </c>
      <c r="B16" t="s">
        <v>465</v>
      </c>
      <c r="C16" t="s">
        <v>190</v>
      </c>
      <c r="D16" t="s">
        <v>835</v>
      </c>
      <c r="E16" t="s">
        <v>836</v>
      </c>
    </row>
    <row r="17" spans="1:5" x14ac:dyDescent="0.25">
      <c r="A17" t="s">
        <v>223</v>
      </c>
      <c r="B17" t="s">
        <v>459</v>
      </c>
      <c r="C17" t="s">
        <v>190</v>
      </c>
      <c r="D17" t="s">
        <v>837</v>
      </c>
      <c r="E17" t="s">
        <v>838</v>
      </c>
    </row>
    <row r="18" spans="1:5" x14ac:dyDescent="0.25">
      <c r="A18" t="s">
        <v>231</v>
      </c>
      <c r="B18" t="s">
        <v>302</v>
      </c>
      <c r="C18" t="s">
        <v>190</v>
      </c>
      <c r="D18" t="s">
        <v>835</v>
      </c>
      <c r="E18" t="s">
        <v>836</v>
      </c>
    </row>
    <row r="19" spans="1:5" x14ac:dyDescent="0.25">
      <c r="A19" t="s">
        <v>231</v>
      </c>
      <c r="B19" t="s">
        <v>447</v>
      </c>
      <c r="C19" t="s">
        <v>190</v>
      </c>
      <c r="D19" t="s">
        <v>835</v>
      </c>
      <c r="E19" t="s">
        <v>836</v>
      </c>
    </row>
    <row r="20" spans="1:5" x14ac:dyDescent="0.25">
      <c r="A20" t="s">
        <v>231</v>
      </c>
      <c r="B20" t="s">
        <v>459</v>
      </c>
      <c r="C20" t="s">
        <v>190</v>
      </c>
      <c r="D20" t="s">
        <v>837</v>
      </c>
      <c r="E20" t="s">
        <v>839</v>
      </c>
    </row>
    <row r="21" spans="1:5" x14ac:dyDescent="0.25">
      <c r="A21" t="s">
        <v>234</v>
      </c>
      <c r="B21" t="s">
        <v>302</v>
      </c>
      <c r="C21" t="s">
        <v>190</v>
      </c>
      <c r="D21" t="s">
        <v>835</v>
      </c>
      <c r="E21" t="s">
        <v>836</v>
      </c>
    </row>
    <row r="22" spans="1:5" x14ac:dyDescent="0.25">
      <c r="A22" t="s">
        <v>234</v>
      </c>
      <c r="B22" t="s">
        <v>447</v>
      </c>
      <c r="C22" t="s">
        <v>190</v>
      </c>
      <c r="D22" t="s">
        <v>835</v>
      </c>
      <c r="E22" t="s">
        <v>836</v>
      </c>
    </row>
    <row r="23" spans="1:5" x14ac:dyDescent="0.25">
      <c r="A23" t="s">
        <v>234</v>
      </c>
      <c r="B23" t="s">
        <v>459</v>
      </c>
      <c r="C23" t="s">
        <v>227</v>
      </c>
      <c r="D23" t="s">
        <v>837</v>
      </c>
      <c r="E23" t="s">
        <v>840</v>
      </c>
    </row>
    <row r="24" spans="1:5" x14ac:dyDescent="0.25">
      <c r="A24" t="s">
        <v>239</v>
      </c>
      <c r="B24" t="s">
        <v>302</v>
      </c>
      <c r="C24" t="s">
        <v>190</v>
      </c>
      <c r="D24" t="s">
        <v>835</v>
      </c>
      <c r="E24" t="s">
        <v>836</v>
      </c>
    </row>
    <row r="25" spans="1:5" x14ac:dyDescent="0.25">
      <c r="A25" t="s">
        <v>239</v>
      </c>
      <c r="B25" t="s">
        <v>459</v>
      </c>
      <c r="C25" t="s">
        <v>190</v>
      </c>
      <c r="D25" t="s">
        <v>837</v>
      </c>
      <c r="E25" t="s">
        <v>841</v>
      </c>
    </row>
    <row r="26" spans="1:5" x14ac:dyDescent="0.25">
      <c r="A26" t="s">
        <v>214</v>
      </c>
      <c r="B26" t="s">
        <v>216</v>
      </c>
      <c r="C26" t="s">
        <v>190</v>
      </c>
      <c r="D26" t="s">
        <v>824</v>
      </c>
      <c r="E26" t="s">
        <v>842</v>
      </c>
    </row>
    <row r="27" spans="1:5" x14ac:dyDescent="0.25">
      <c r="A27" t="s">
        <v>214</v>
      </c>
      <c r="B27" t="s">
        <v>302</v>
      </c>
      <c r="C27" t="s">
        <v>278</v>
      </c>
      <c r="D27" t="s">
        <v>824</v>
      </c>
      <c r="E27" t="s">
        <v>843</v>
      </c>
    </row>
    <row r="28" spans="1:5" x14ac:dyDescent="0.25">
      <c r="A28" t="s">
        <v>247</v>
      </c>
      <c r="B28" t="s">
        <v>302</v>
      </c>
      <c r="C28" t="s">
        <v>190</v>
      </c>
      <c r="D28" t="s">
        <v>835</v>
      </c>
      <c r="E28" t="s">
        <v>836</v>
      </c>
    </row>
    <row r="29" spans="1:5" x14ac:dyDescent="0.25">
      <c r="A29" t="s">
        <v>247</v>
      </c>
      <c r="B29" t="s">
        <v>459</v>
      </c>
      <c r="C29" t="s">
        <v>190</v>
      </c>
      <c r="D29" t="s">
        <v>837</v>
      </c>
      <c r="E29" t="s">
        <v>844</v>
      </c>
    </row>
    <row r="30" spans="1:5" x14ac:dyDescent="0.25">
      <c r="A30" t="s">
        <v>252</v>
      </c>
      <c r="B30" t="s">
        <v>302</v>
      </c>
      <c r="C30" t="s">
        <v>190</v>
      </c>
      <c r="D30" t="s">
        <v>824</v>
      </c>
      <c r="E30" t="s">
        <v>845</v>
      </c>
    </row>
    <row r="31" spans="1:5" x14ac:dyDescent="0.25">
      <c r="A31" t="s">
        <v>252</v>
      </c>
      <c r="B31" t="s">
        <v>447</v>
      </c>
      <c r="C31" t="s">
        <v>227</v>
      </c>
      <c r="D31" t="s">
        <v>824</v>
      </c>
      <c r="E31" t="s">
        <v>846</v>
      </c>
    </row>
    <row r="32" spans="1:5" x14ac:dyDescent="0.25">
      <c r="A32" t="s">
        <v>258</v>
      </c>
      <c r="B32" t="s">
        <v>302</v>
      </c>
      <c r="C32" t="s">
        <v>190</v>
      </c>
      <c r="D32" t="s">
        <v>835</v>
      </c>
      <c r="E32" t="s">
        <v>836</v>
      </c>
    </row>
    <row r="33" spans="1:5" x14ac:dyDescent="0.25">
      <c r="A33" t="s">
        <v>258</v>
      </c>
      <c r="B33" t="s">
        <v>459</v>
      </c>
      <c r="C33" t="s">
        <v>190</v>
      </c>
      <c r="D33" t="s">
        <v>837</v>
      </c>
      <c r="E33" t="s">
        <v>847</v>
      </c>
    </row>
    <row r="34" spans="1:5" x14ac:dyDescent="0.25">
      <c r="A34" t="s">
        <v>262</v>
      </c>
      <c r="B34" t="s">
        <v>450</v>
      </c>
      <c r="C34" t="s">
        <v>190</v>
      </c>
      <c r="D34" t="s">
        <v>824</v>
      </c>
      <c r="E34" t="s">
        <v>848</v>
      </c>
    </row>
    <row r="35" spans="1:5" x14ac:dyDescent="0.25">
      <c r="A35" t="s">
        <v>262</v>
      </c>
      <c r="B35" t="s">
        <v>459</v>
      </c>
      <c r="C35" t="s">
        <v>227</v>
      </c>
      <c r="D35" t="s">
        <v>837</v>
      </c>
      <c r="E35" t="s">
        <v>849</v>
      </c>
    </row>
    <row r="36" spans="1:5" x14ac:dyDescent="0.25">
      <c r="A36" t="s">
        <v>268</v>
      </c>
      <c r="B36" t="s">
        <v>465</v>
      </c>
      <c r="C36" t="s">
        <v>190</v>
      </c>
      <c r="D36" t="s">
        <v>824</v>
      </c>
      <c r="E36" t="s">
        <v>850</v>
      </c>
    </row>
    <row r="37" spans="1:5" x14ac:dyDescent="0.25">
      <c r="A37" t="s">
        <v>268</v>
      </c>
      <c r="B37" t="s">
        <v>462</v>
      </c>
      <c r="C37" t="s">
        <v>190</v>
      </c>
      <c r="D37" t="s">
        <v>824</v>
      </c>
      <c r="E37" t="s">
        <v>851</v>
      </c>
    </row>
    <row r="38" spans="1:5" x14ac:dyDescent="0.25">
      <c r="A38" t="s">
        <v>268</v>
      </c>
      <c r="B38" t="s">
        <v>447</v>
      </c>
      <c r="C38" t="s">
        <v>227</v>
      </c>
      <c r="D38" t="s">
        <v>824</v>
      </c>
      <c r="E38" t="s">
        <v>852</v>
      </c>
    </row>
    <row r="39" spans="1:5" x14ac:dyDescent="0.25">
      <c r="A39" t="s">
        <v>273</v>
      </c>
      <c r="B39" t="s">
        <v>277</v>
      </c>
      <c r="C39" t="s">
        <v>190</v>
      </c>
      <c r="D39" t="s">
        <v>824</v>
      </c>
      <c r="E39" t="s">
        <v>853</v>
      </c>
    </row>
    <row r="40" spans="1:5" x14ac:dyDescent="0.25">
      <c r="A40" t="s">
        <v>255</v>
      </c>
      <c r="B40" t="s">
        <v>465</v>
      </c>
      <c r="C40" t="s">
        <v>190</v>
      </c>
      <c r="D40" t="s">
        <v>824</v>
      </c>
      <c r="E40" t="s">
        <v>854</v>
      </c>
    </row>
    <row r="41" spans="1:5" x14ac:dyDescent="0.25">
      <c r="A41" t="s">
        <v>255</v>
      </c>
      <c r="B41" t="s">
        <v>462</v>
      </c>
      <c r="C41" t="s">
        <v>227</v>
      </c>
      <c r="D41" t="s">
        <v>824</v>
      </c>
      <c r="E41" t="s">
        <v>855</v>
      </c>
    </row>
    <row r="42" spans="1:5" x14ac:dyDescent="0.25">
      <c r="A42" t="s">
        <v>255</v>
      </c>
      <c r="B42" t="s">
        <v>447</v>
      </c>
      <c r="C42" t="s">
        <v>278</v>
      </c>
      <c r="D42" t="s">
        <v>824</v>
      </c>
      <c r="E42" t="s">
        <v>856</v>
      </c>
    </row>
    <row r="43" spans="1:5" x14ac:dyDescent="0.25">
      <c r="A43" t="s">
        <v>283</v>
      </c>
      <c r="B43" t="s">
        <v>465</v>
      </c>
      <c r="C43" t="s">
        <v>190</v>
      </c>
      <c r="D43" t="s">
        <v>835</v>
      </c>
      <c r="E43" t="s">
        <v>836</v>
      </c>
    </row>
    <row r="44" spans="1:5" x14ac:dyDescent="0.25">
      <c r="A44" t="s">
        <v>283</v>
      </c>
      <c r="B44" t="s">
        <v>459</v>
      </c>
      <c r="C44" t="s">
        <v>190</v>
      </c>
      <c r="D44" t="s">
        <v>837</v>
      </c>
      <c r="E44" t="s">
        <v>857</v>
      </c>
    </row>
    <row r="45" spans="1:5" x14ac:dyDescent="0.25">
      <c r="A45" t="s">
        <v>289</v>
      </c>
      <c r="B45" t="s">
        <v>325</v>
      </c>
      <c r="C45" t="s">
        <v>190</v>
      </c>
      <c r="D45" t="s">
        <v>824</v>
      </c>
      <c r="E45" t="s">
        <v>858</v>
      </c>
    </row>
    <row r="46" spans="1:5" x14ac:dyDescent="0.25">
      <c r="A46" t="s">
        <v>289</v>
      </c>
      <c r="B46" t="s">
        <v>302</v>
      </c>
      <c r="C46" t="s">
        <v>190</v>
      </c>
      <c r="D46" t="s">
        <v>824</v>
      </c>
      <c r="E46" t="s">
        <v>859</v>
      </c>
    </row>
    <row r="47" spans="1:5" x14ac:dyDescent="0.25">
      <c r="A47" t="s">
        <v>289</v>
      </c>
      <c r="B47" t="s">
        <v>216</v>
      </c>
      <c r="C47" t="s">
        <v>227</v>
      </c>
      <c r="D47" t="s">
        <v>824</v>
      </c>
      <c r="E47" t="s">
        <v>846</v>
      </c>
    </row>
    <row r="48" spans="1:5" x14ac:dyDescent="0.25">
      <c r="A48" t="s">
        <v>289</v>
      </c>
      <c r="B48" t="s">
        <v>447</v>
      </c>
      <c r="C48" t="s">
        <v>227</v>
      </c>
      <c r="D48" t="s">
        <v>824</v>
      </c>
      <c r="E48" t="s">
        <v>846</v>
      </c>
    </row>
    <row r="49" spans="1:5" x14ac:dyDescent="0.25">
      <c r="A49" t="s">
        <v>294</v>
      </c>
      <c r="B49" t="s">
        <v>465</v>
      </c>
      <c r="C49" t="s">
        <v>190</v>
      </c>
      <c r="D49" t="s">
        <v>824</v>
      </c>
      <c r="E49" t="s">
        <v>860</v>
      </c>
    </row>
    <row r="50" spans="1:5" x14ac:dyDescent="0.25">
      <c r="A50" t="s">
        <v>294</v>
      </c>
      <c r="B50" t="s">
        <v>462</v>
      </c>
      <c r="C50" t="s">
        <v>227</v>
      </c>
      <c r="D50" t="s">
        <v>824</v>
      </c>
      <c r="E50" t="s">
        <v>846</v>
      </c>
    </row>
    <row r="51" spans="1:5" x14ac:dyDescent="0.25">
      <c r="A51" t="s">
        <v>294</v>
      </c>
      <c r="B51" t="s">
        <v>447</v>
      </c>
      <c r="C51" t="s">
        <v>278</v>
      </c>
      <c r="D51" t="s">
        <v>824</v>
      </c>
      <c r="E51" t="s">
        <v>856</v>
      </c>
    </row>
    <row r="52" spans="1:5" x14ac:dyDescent="0.25">
      <c r="A52" t="s">
        <v>298</v>
      </c>
      <c r="B52" t="s">
        <v>302</v>
      </c>
      <c r="C52" t="s">
        <v>190</v>
      </c>
      <c r="D52" t="s">
        <v>824</v>
      </c>
      <c r="E52" t="s">
        <v>861</v>
      </c>
    </row>
    <row r="53" spans="1:5" x14ac:dyDescent="0.25">
      <c r="A53" t="s">
        <v>303</v>
      </c>
      <c r="B53" t="s">
        <v>465</v>
      </c>
      <c r="C53" t="s">
        <v>190</v>
      </c>
      <c r="D53" t="s">
        <v>824</v>
      </c>
      <c r="E53" t="s">
        <v>862</v>
      </c>
    </row>
    <row r="54" spans="1:5" x14ac:dyDescent="0.25">
      <c r="A54" t="s">
        <v>303</v>
      </c>
      <c r="B54" t="s">
        <v>462</v>
      </c>
      <c r="C54" t="s">
        <v>227</v>
      </c>
      <c r="D54" t="s">
        <v>824</v>
      </c>
      <c r="E54" t="s">
        <v>846</v>
      </c>
    </row>
    <row r="55" spans="1:5" x14ac:dyDescent="0.25">
      <c r="A55" t="s">
        <v>307</v>
      </c>
      <c r="B55" t="s">
        <v>818</v>
      </c>
      <c r="C55" t="s">
        <v>190</v>
      </c>
      <c r="D55" t="s">
        <v>824</v>
      </c>
      <c r="E55" t="s">
        <v>863</v>
      </c>
    </row>
    <row r="56" spans="1:5" x14ac:dyDescent="0.25">
      <c r="A56" t="s">
        <v>312</v>
      </c>
      <c r="B56" t="s">
        <v>316</v>
      </c>
      <c r="C56" t="s">
        <v>190</v>
      </c>
      <c r="D56" t="s">
        <v>824</v>
      </c>
      <c r="E56" t="s">
        <v>864</v>
      </c>
    </row>
    <row r="57" spans="1:5" x14ac:dyDescent="0.25">
      <c r="A57" t="s">
        <v>318</v>
      </c>
      <c r="B57" t="s">
        <v>302</v>
      </c>
      <c r="C57" t="s">
        <v>190</v>
      </c>
      <c r="D57" t="s">
        <v>824</v>
      </c>
      <c r="E57" t="s">
        <v>865</v>
      </c>
    </row>
    <row r="58" spans="1:5" x14ac:dyDescent="0.25">
      <c r="A58" t="s">
        <v>318</v>
      </c>
      <c r="B58" t="s">
        <v>447</v>
      </c>
      <c r="C58" t="s">
        <v>190</v>
      </c>
      <c r="D58" t="s">
        <v>824</v>
      </c>
      <c r="E58" t="s">
        <v>865</v>
      </c>
    </row>
    <row r="59" spans="1:5" x14ac:dyDescent="0.25">
      <c r="A59" t="s">
        <v>318</v>
      </c>
      <c r="B59" t="s">
        <v>450</v>
      </c>
      <c r="C59" t="s">
        <v>190</v>
      </c>
      <c r="D59" t="s">
        <v>824</v>
      </c>
      <c r="E59" t="s">
        <v>866</v>
      </c>
    </row>
    <row r="60" spans="1:5" x14ac:dyDescent="0.25">
      <c r="A60" t="s">
        <v>321</v>
      </c>
      <c r="B60" t="s">
        <v>325</v>
      </c>
      <c r="C60" t="s">
        <v>190</v>
      </c>
      <c r="D60" t="s">
        <v>824</v>
      </c>
      <c r="E60" t="s">
        <v>867</v>
      </c>
    </row>
    <row r="61" spans="1:5" x14ac:dyDescent="0.25">
      <c r="A61" t="s">
        <v>327</v>
      </c>
      <c r="B61" t="s">
        <v>818</v>
      </c>
      <c r="C61" t="s">
        <v>190</v>
      </c>
      <c r="D61" t="s">
        <v>824</v>
      </c>
      <c r="E61" t="s">
        <v>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README</vt:lpstr>
      <vt:lpstr>CHANGELOG</vt:lpstr>
      <vt:lpstr>COURSES_5281</vt:lpstr>
      <vt:lpstr>COURSES_5388</vt:lpstr>
      <vt:lpstr>ROOMS</vt:lpstr>
      <vt:lpstr>TEACHERS</vt:lpstr>
      <vt:lpstr>COHORT_TEMPLATES</vt:lpstr>
      <vt:lpstr>SCHEDULING_RULES</vt:lpstr>
      <vt:lpstr>PREREQUISITE_CHAINS</vt:lpstr>
      <vt:lpstr>COURSE_ROOM_MATRIX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Ioannis Doufexis</cp:lastModifiedBy>
  <dcterms:created xsi:type="dcterms:W3CDTF">2026-02-13T22:23:14Z</dcterms:created>
  <dcterms:modified xsi:type="dcterms:W3CDTF">2026-02-16T17:18:33Z</dcterms:modified>
</cp:coreProperties>
</file>